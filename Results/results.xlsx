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35193\Desktop\Mestrado\Metaheurísticas\mh_ph3\"/>
    </mc:Choice>
  </mc:AlternateContent>
  <xr:revisionPtr revIDLastSave="0" documentId="13_ncr:1_{6F160DAA-FA2F-4DDD-96FF-1E700183D8DC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PSO" sheetId="1" r:id="rId1"/>
    <sheet name="SA" sheetId="2" r:id="rId2"/>
    <sheet name="NAHC" sheetId="3" r:id="rId3"/>
    <sheet name="MS_NAHC" sheetId="5" r:id="rId4"/>
    <sheet name="VNH" sheetId="6" r:id="rId5"/>
    <sheet name="MS_VNH" sheetId="7" r:id="rId6"/>
    <sheet name="TESTS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6" i="4" l="1"/>
  <c r="U45" i="4"/>
  <c r="U44" i="4"/>
  <c r="U40" i="4"/>
  <c r="U39" i="4"/>
  <c r="U38" i="4"/>
  <c r="U31" i="4"/>
  <c r="U30" i="4"/>
  <c r="U29" i="4"/>
  <c r="U22" i="4"/>
  <c r="U21" i="4"/>
  <c r="U20" i="4"/>
  <c r="T46" i="4"/>
  <c r="T45" i="4"/>
  <c r="T44" i="4"/>
  <c r="T40" i="4"/>
  <c r="T39" i="4"/>
  <c r="T38" i="4"/>
  <c r="T31" i="4"/>
  <c r="T30" i="4"/>
  <c r="T29" i="4"/>
  <c r="T22" i="4"/>
  <c r="T21" i="4"/>
  <c r="T20" i="4"/>
  <c r="S46" i="4"/>
  <c r="S45" i="4"/>
  <c r="S44" i="4"/>
  <c r="S40" i="4"/>
  <c r="S39" i="4"/>
  <c r="S38" i="4"/>
  <c r="S31" i="4"/>
  <c r="S30" i="4"/>
  <c r="S29" i="4"/>
  <c r="S22" i="4"/>
  <c r="S21" i="4"/>
  <c r="S20" i="4"/>
  <c r="R46" i="4"/>
  <c r="R45" i="4"/>
  <c r="R44" i="4"/>
  <c r="R40" i="4"/>
  <c r="R39" i="4"/>
  <c r="R38" i="4"/>
  <c r="R31" i="4"/>
  <c r="R30" i="4"/>
  <c r="R29" i="4"/>
  <c r="R22" i="4"/>
  <c r="R21" i="4"/>
  <c r="R20" i="4"/>
  <c r="Q46" i="4"/>
  <c r="Q45" i="4"/>
  <c r="Q44" i="4"/>
  <c r="Q40" i="4"/>
  <c r="Q39" i="4"/>
  <c r="Q38" i="4"/>
  <c r="Q31" i="4"/>
  <c r="Q30" i="4"/>
  <c r="Q29" i="4"/>
  <c r="Q22" i="4"/>
  <c r="Q21" i="4"/>
  <c r="Q20" i="4"/>
  <c r="P46" i="4"/>
  <c r="P45" i="4"/>
  <c r="P44" i="4"/>
  <c r="P40" i="4"/>
  <c r="P39" i="4"/>
  <c r="P38" i="4"/>
  <c r="P31" i="4"/>
  <c r="P30" i="4"/>
  <c r="P29" i="4"/>
  <c r="P22" i="4"/>
  <c r="P21" i="4"/>
  <c r="P20" i="4"/>
  <c r="O46" i="4"/>
  <c r="O45" i="4"/>
  <c r="O44" i="4"/>
  <c r="O40" i="4"/>
  <c r="O39" i="4"/>
  <c r="O38" i="4"/>
  <c r="O31" i="4"/>
  <c r="O30" i="4"/>
  <c r="O29" i="4"/>
  <c r="O22" i="4"/>
  <c r="O21" i="4"/>
  <c r="O20" i="4"/>
  <c r="U13" i="4"/>
  <c r="U12" i="4"/>
  <c r="U11" i="4"/>
  <c r="T13" i="4"/>
  <c r="T12" i="4"/>
  <c r="T11" i="4"/>
  <c r="S13" i="4"/>
  <c r="S12" i="4"/>
  <c r="S11" i="4"/>
  <c r="R13" i="4"/>
  <c r="R12" i="4"/>
  <c r="R11" i="4"/>
  <c r="Q13" i="4"/>
  <c r="Q12" i="4"/>
  <c r="Q11" i="4"/>
  <c r="U5" i="4"/>
  <c r="U4" i="4"/>
  <c r="P13" i="4"/>
  <c r="P12" i="4"/>
  <c r="P11" i="4"/>
  <c r="O13" i="4"/>
  <c r="O12" i="4"/>
  <c r="O11" i="4"/>
  <c r="U3" i="4"/>
  <c r="T5" i="4"/>
  <c r="T4" i="4"/>
  <c r="T3" i="4"/>
  <c r="S5" i="4"/>
  <c r="S4" i="4"/>
  <c r="S3" i="4"/>
  <c r="R5" i="4"/>
  <c r="R4" i="4"/>
  <c r="R3" i="4"/>
  <c r="Q5" i="4"/>
  <c r="Q4" i="4"/>
  <c r="Q3" i="4"/>
  <c r="P3" i="4"/>
  <c r="P5" i="4"/>
  <c r="P4" i="4"/>
  <c r="O5" i="4"/>
  <c r="O4" i="4"/>
  <c r="O3" i="4"/>
  <c r="J44" i="4"/>
  <c r="I44" i="4"/>
  <c r="H44" i="4"/>
  <c r="J45" i="4"/>
  <c r="I45" i="4"/>
  <c r="I46" i="4"/>
  <c r="H46" i="4"/>
  <c r="J46" i="4"/>
  <c r="H45" i="4"/>
  <c r="G45" i="4"/>
  <c r="F45" i="4"/>
  <c r="E45" i="4"/>
  <c r="D45" i="4"/>
  <c r="D44" i="4"/>
  <c r="E44" i="4"/>
  <c r="F44" i="4"/>
  <c r="G44" i="4"/>
  <c r="F46" i="4"/>
  <c r="G46" i="4"/>
  <c r="D46" i="4"/>
  <c r="E46" i="4"/>
  <c r="J40" i="4"/>
  <c r="I40" i="4"/>
  <c r="H40" i="4"/>
  <c r="G40" i="4"/>
  <c r="F40" i="4"/>
  <c r="E40" i="4"/>
  <c r="D40" i="4"/>
  <c r="J39" i="4"/>
  <c r="I39" i="4"/>
  <c r="H39" i="4"/>
  <c r="G39" i="4"/>
  <c r="F39" i="4"/>
  <c r="D39" i="4"/>
  <c r="E39" i="4"/>
  <c r="J38" i="4"/>
  <c r="I38" i="4"/>
  <c r="H38" i="4"/>
  <c r="G38" i="4"/>
  <c r="F38" i="4"/>
  <c r="E38" i="4"/>
  <c r="D38" i="4"/>
  <c r="J31" i="4"/>
  <c r="I31" i="4"/>
  <c r="H31" i="4"/>
  <c r="G31" i="4"/>
  <c r="F31" i="4"/>
  <c r="E31" i="4"/>
  <c r="D31" i="4"/>
  <c r="J30" i="4"/>
  <c r="I30" i="4"/>
  <c r="H30" i="4"/>
  <c r="G30" i="4"/>
  <c r="F30" i="4"/>
  <c r="E30" i="4"/>
  <c r="D30" i="4"/>
  <c r="J29" i="4"/>
  <c r="I29" i="4"/>
  <c r="H29" i="4"/>
  <c r="G29" i="4"/>
  <c r="F29" i="4"/>
  <c r="E29" i="4"/>
  <c r="D29" i="4"/>
  <c r="J22" i="4"/>
  <c r="I22" i="4"/>
  <c r="H22" i="4"/>
  <c r="G22" i="4"/>
  <c r="F22" i="4"/>
  <c r="E22" i="4"/>
  <c r="D22" i="4"/>
  <c r="J21" i="4"/>
  <c r="I21" i="4"/>
  <c r="H21" i="4"/>
  <c r="G21" i="4"/>
  <c r="F21" i="4"/>
  <c r="E21" i="4"/>
  <c r="D21" i="4"/>
  <c r="J20" i="4"/>
  <c r="I20" i="4"/>
  <c r="H20" i="4"/>
  <c r="G20" i="4"/>
  <c r="F20" i="4"/>
  <c r="E20" i="4"/>
  <c r="D20" i="4"/>
  <c r="J13" i="4"/>
  <c r="I13" i="4"/>
  <c r="H13" i="4"/>
  <c r="G13" i="4"/>
  <c r="F13" i="4"/>
  <c r="E13" i="4"/>
  <c r="J12" i="4"/>
  <c r="I12" i="4"/>
  <c r="H12" i="4"/>
  <c r="G12" i="4"/>
  <c r="F12" i="4"/>
  <c r="E12" i="4"/>
  <c r="J11" i="4"/>
  <c r="I11" i="4"/>
  <c r="H11" i="4"/>
  <c r="G11" i="4"/>
  <c r="F11" i="4"/>
  <c r="E11" i="4"/>
  <c r="D13" i="4"/>
  <c r="D12" i="4"/>
  <c r="D11" i="4"/>
  <c r="J5" i="4"/>
  <c r="J4" i="4"/>
  <c r="J3" i="4"/>
  <c r="I5" i="4"/>
  <c r="I4" i="4"/>
  <c r="I3" i="4"/>
  <c r="H5" i="4"/>
  <c r="H4" i="4"/>
  <c r="H3" i="4"/>
  <c r="G5" i="4"/>
  <c r="G4" i="4"/>
  <c r="G3" i="4"/>
  <c r="F5" i="4"/>
  <c r="F4" i="4"/>
  <c r="F3" i="4"/>
  <c r="E5" i="4"/>
  <c r="E4" i="4"/>
  <c r="E3" i="4"/>
  <c r="D5" i="4"/>
  <c r="D4" i="4"/>
  <c r="D3" i="4"/>
</calcChain>
</file>

<file path=xl/sharedStrings.xml><?xml version="1.0" encoding="utf-8"?>
<sst xmlns="http://schemas.openxmlformats.org/spreadsheetml/2006/main" count="1787" uniqueCount="44">
  <si>
    <t>SA</t>
  </si>
  <si>
    <t>algorithm</t>
  </si>
  <si>
    <t>instance_id</t>
  </si>
  <si>
    <t>cnf_file</t>
  </si>
  <si>
    <t>run</t>
  </si>
  <si>
    <t>seed</t>
  </si>
  <si>
    <t>num_vars</t>
  </si>
  <si>
    <t>num_clauses</t>
  </si>
  <si>
    <t>num_particles</t>
  </si>
  <si>
    <t>num_informants</t>
  </si>
  <si>
    <t>max_evaluations</t>
  </si>
  <si>
    <t>evaluations_used</t>
  </si>
  <si>
    <t>best_fitness_satisfied</t>
  </si>
  <si>
    <t>1</t>
  </si>
  <si>
    <t>../cnf_files/uf20-01.cnf</t>
  </si>
  <si>
    <t>2</t>
  </si>
  <si>
    <t>../cnf_files/uf100-01.cnf</t>
  </si>
  <si>
    <t>3</t>
  </si>
  <si>
    <t>../cnf_files/uf250-01.cnf</t>
  </si>
  <si>
    <t>best_energy_unsatisfied</t>
  </si>
  <si>
    <t>max_k</t>
  </si>
  <si>
    <t>NAHC</t>
  </si>
  <si>
    <t>MS_NAHC</t>
  </si>
  <si>
    <t>VNH</t>
  </si>
  <si>
    <t>MS_VNH</t>
  </si>
  <si>
    <t>PSO</t>
  </si>
  <si>
    <t>CNF_FILE</t>
  </si>
  <si>
    <t>Standard Deviation</t>
  </si>
  <si>
    <t>Minimum</t>
  </si>
  <si>
    <t>Algorithm</t>
  </si>
  <si>
    <t>Median</t>
  </si>
  <si>
    <t>Maximum</t>
  </si>
  <si>
    <t>Q1 Quartile</t>
  </si>
  <si>
    <t>Q3 Quartile</t>
  </si>
  <si>
    <t>UF20</t>
  </si>
  <si>
    <t>UF100</t>
  </si>
  <si>
    <t>UF250</t>
  </si>
  <si>
    <t>PARTICLE SWARM OPTIMISATION</t>
  </si>
  <si>
    <t>SIMULATED ANNEALING</t>
  </si>
  <si>
    <t>Average Fitness (30 Runs)</t>
  </si>
  <si>
    <t>NEXT ASCENT HILLCLIMBING</t>
  </si>
  <si>
    <t>MULTISTART NEXT ASCENT HILLCLIMBING</t>
  </si>
  <si>
    <t>VARIABLE NEIGHBOURHOOD HILLCLIMBING</t>
  </si>
  <si>
    <t>Average Evaluations (30 Runs)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</si>
</sst>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1"/>
  <sheetViews>
    <sheetView zoomScale="110" zoomScaleNormal="110" workbookViewId="0">
      <selection activeCell="K2" sqref="K2"/>
    </sheetView>
  </sheetViews>
  <sheetFormatPr defaultRowHeight="15" x14ac:dyDescent="0.25"/>
  <cols>
    <col min="1" max="1" width="16.140625" customWidth="1"/>
    <col min="2" max="2" width="13" customWidth="1"/>
    <col min="3" max="3" width="20.7109375" customWidth="1"/>
    <col min="7" max="8" width="12.7109375" customWidth="1"/>
    <col min="9" max="9" width="14.85546875" customWidth="1"/>
    <col min="10" max="10" width="16.5703125" customWidth="1"/>
    <col min="11" max="11" width="15.7109375" customWidth="1"/>
    <col min="12" max="12" width="18.7109375" customWidth="1"/>
  </cols>
  <sheetData>
    <row r="1" spans="1:12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 x14ac:dyDescent="0.25">
      <c r="A2" s="2" t="s">
        <v>25</v>
      </c>
      <c r="B2" s="2" t="s">
        <v>13</v>
      </c>
      <c r="C2" s="2" t="s">
        <v>14</v>
      </c>
      <c r="D2" s="2">
        <v>0</v>
      </c>
      <c r="E2" s="2">
        <v>0</v>
      </c>
      <c r="F2" s="2">
        <v>20</v>
      </c>
      <c r="G2" s="2">
        <v>91</v>
      </c>
      <c r="H2" s="2">
        <v>30</v>
      </c>
      <c r="I2" s="2">
        <v>6</v>
      </c>
      <c r="J2" s="2">
        <v>1000000</v>
      </c>
      <c r="K2" s="2">
        <v>1000000</v>
      </c>
      <c r="L2" s="2">
        <v>89</v>
      </c>
    </row>
    <row r="3" spans="1:12" x14ac:dyDescent="0.25">
      <c r="A3" s="2" t="s">
        <v>25</v>
      </c>
      <c r="B3" s="2" t="s">
        <v>13</v>
      </c>
      <c r="C3" s="2" t="s">
        <v>14</v>
      </c>
      <c r="D3" s="2">
        <v>1</v>
      </c>
      <c r="E3" s="2">
        <v>1</v>
      </c>
      <c r="F3" s="2">
        <v>20</v>
      </c>
      <c r="G3" s="2">
        <v>91</v>
      </c>
      <c r="H3" s="2">
        <v>30</v>
      </c>
      <c r="I3" s="2">
        <v>6</v>
      </c>
      <c r="J3" s="2">
        <v>1000000</v>
      </c>
      <c r="K3" s="2">
        <v>36300</v>
      </c>
      <c r="L3" s="2">
        <v>91</v>
      </c>
    </row>
    <row r="4" spans="1:12" x14ac:dyDescent="0.25">
      <c r="A4" s="2" t="s">
        <v>25</v>
      </c>
      <c r="B4" s="2" t="s">
        <v>13</v>
      </c>
      <c r="C4" s="2" t="s">
        <v>14</v>
      </c>
      <c r="D4" s="2">
        <v>2</v>
      </c>
      <c r="E4" s="2">
        <v>2</v>
      </c>
      <c r="F4" s="2">
        <v>20</v>
      </c>
      <c r="G4" s="2">
        <v>91</v>
      </c>
      <c r="H4" s="2">
        <v>30</v>
      </c>
      <c r="I4" s="2">
        <v>6</v>
      </c>
      <c r="J4" s="2">
        <v>1000000</v>
      </c>
      <c r="K4" s="2">
        <v>1000000</v>
      </c>
      <c r="L4" s="2">
        <v>90</v>
      </c>
    </row>
    <row r="5" spans="1:12" x14ac:dyDescent="0.25">
      <c r="A5" s="2" t="s">
        <v>25</v>
      </c>
      <c r="B5" s="2" t="s">
        <v>13</v>
      </c>
      <c r="C5" s="2" t="s">
        <v>14</v>
      </c>
      <c r="D5" s="2">
        <v>3</v>
      </c>
      <c r="E5" s="2">
        <v>3</v>
      </c>
      <c r="F5" s="2">
        <v>20</v>
      </c>
      <c r="G5" s="2">
        <v>91</v>
      </c>
      <c r="H5" s="2">
        <v>30</v>
      </c>
      <c r="I5" s="2">
        <v>6</v>
      </c>
      <c r="J5" s="2">
        <v>1000000</v>
      </c>
      <c r="K5" s="2">
        <v>1000000</v>
      </c>
      <c r="L5" s="2">
        <v>90</v>
      </c>
    </row>
    <row r="6" spans="1:12" x14ac:dyDescent="0.25">
      <c r="A6" s="2" t="s">
        <v>25</v>
      </c>
      <c r="B6" s="2" t="s">
        <v>13</v>
      </c>
      <c r="C6" s="2" t="s">
        <v>14</v>
      </c>
      <c r="D6" s="2">
        <v>4</v>
      </c>
      <c r="E6" s="2">
        <v>4</v>
      </c>
      <c r="F6" s="2">
        <v>20</v>
      </c>
      <c r="G6" s="2">
        <v>91</v>
      </c>
      <c r="H6" s="2">
        <v>30</v>
      </c>
      <c r="I6" s="2">
        <v>6</v>
      </c>
      <c r="J6" s="2">
        <v>1000000</v>
      </c>
      <c r="K6" s="2">
        <v>1530</v>
      </c>
      <c r="L6" s="2">
        <v>91</v>
      </c>
    </row>
    <row r="7" spans="1:12" x14ac:dyDescent="0.25">
      <c r="A7" s="2" t="s">
        <v>25</v>
      </c>
      <c r="B7" s="2" t="s">
        <v>13</v>
      </c>
      <c r="C7" s="2" t="s">
        <v>14</v>
      </c>
      <c r="D7" s="2">
        <v>5</v>
      </c>
      <c r="E7" s="2">
        <v>5</v>
      </c>
      <c r="F7" s="2">
        <v>20</v>
      </c>
      <c r="G7" s="2">
        <v>91</v>
      </c>
      <c r="H7" s="2">
        <v>30</v>
      </c>
      <c r="I7" s="2">
        <v>6</v>
      </c>
      <c r="J7" s="2">
        <v>1000000</v>
      </c>
      <c r="K7" s="2">
        <v>1000000</v>
      </c>
      <c r="L7" s="2">
        <v>89</v>
      </c>
    </row>
    <row r="8" spans="1:12" x14ac:dyDescent="0.25">
      <c r="A8" s="2" t="s">
        <v>25</v>
      </c>
      <c r="B8" s="2" t="s">
        <v>13</v>
      </c>
      <c r="C8" s="2" t="s">
        <v>14</v>
      </c>
      <c r="D8" s="2">
        <v>6</v>
      </c>
      <c r="E8" s="2">
        <v>6</v>
      </c>
      <c r="F8" s="2">
        <v>20</v>
      </c>
      <c r="G8" s="2">
        <v>91</v>
      </c>
      <c r="H8" s="2">
        <v>30</v>
      </c>
      <c r="I8" s="2">
        <v>6</v>
      </c>
      <c r="J8" s="2">
        <v>1000000</v>
      </c>
      <c r="K8" s="2">
        <v>480</v>
      </c>
      <c r="L8" s="2">
        <v>91</v>
      </c>
    </row>
    <row r="9" spans="1:12" x14ac:dyDescent="0.25">
      <c r="A9" s="2" t="s">
        <v>25</v>
      </c>
      <c r="B9" s="2" t="s">
        <v>13</v>
      </c>
      <c r="C9" s="2" t="s">
        <v>14</v>
      </c>
      <c r="D9" s="2">
        <v>7</v>
      </c>
      <c r="E9" s="2">
        <v>7</v>
      </c>
      <c r="F9" s="2">
        <v>20</v>
      </c>
      <c r="G9" s="2">
        <v>91</v>
      </c>
      <c r="H9" s="2">
        <v>30</v>
      </c>
      <c r="I9" s="2">
        <v>6</v>
      </c>
      <c r="J9" s="2">
        <v>1000000</v>
      </c>
      <c r="K9" s="2">
        <v>1000000</v>
      </c>
      <c r="L9" s="2">
        <v>89</v>
      </c>
    </row>
    <row r="10" spans="1:12" x14ac:dyDescent="0.25">
      <c r="A10" s="2" t="s">
        <v>25</v>
      </c>
      <c r="B10" s="2" t="s">
        <v>13</v>
      </c>
      <c r="C10" s="2" t="s">
        <v>14</v>
      </c>
      <c r="D10" s="2">
        <v>8</v>
      </c>
      <c r="E10" s="2">
        <v>8</v>
      </c>
      <c r="F10" s="2">
        <v>20</v>
      </c>
      <c r="G10" s="2">
        <v>91</v>
      </c>
      <c r="H10" s="2">
        <v>30</v>
      </c>
      <c r="I10" s="2">
        <v>6</v>
      </c>
      <c r="J10" s="2">
        <v>1000000</v>
      </c>
      <c r="K10" s="2">
        <v>1000000</v>
      </c>
      <c r="L10" s="2">
        <v>90</v>
      </c>
    </row>
    <row r="11" spans="1:12" x14ac:dyDescent="0.25">
      <c r="A11" s="2" t="s">
        <v>25</v>
      </c>
      <c r="B11" s="2" t="s">
        <v>13</v>
      </c>
      <c r="C11" s="2" t="s">
        <v>14</v>
      </c>
      <c r="D11" s="2">
        <v>9</v>
      </c>
      <c r="E11" s="2">
        <v>9</v>
      </c>
      <c r="F11" s="2">
        <v>20</v>
      </c>
      <c r="G11" s="2">
        <v>91</v>
      </c>
      <c r="H11" s="2">
        <v>30</v>
      </c>
      <c r="I11" s="2">
        <v>6</v>
      </c>
      <c r="J11" s="2">
        <v>1000000</v>
      </c>
      <c r="K11" s="2">
        <v>180</v>
      </c>
      <c r="L11" s="2">
        <v>91</v>
      </c>
    </row>
    <row r="12" spans="1:12" x14ac:dyDescent="0.25">
      <c r="A12" s="2" t="s">
        <v>25</v>
      </c>
      <c r="B12" s="2" t="s">
        <v>13</v>
      </c>
      <c r="C12" s="2" t="s">
        <v>14</v>
      </c>
      <c r="D12" s="2">
        <v>10</v>
      </c>
      <c r="E12" s="2">
        <v>10</v>
      </c>
      <c r="F12" s="2">
        <v>20</v>
      </c>
      <c r="G12" s="2">
        <v>91</v>
      </c>
      <c r="H12" s="2">
        <v>30</v>
      </c>
      <c r="I12" s="2">
        <v>6</v>
      </c>
      <c r="J12" s="2">
        <v>1000000</v>
      </c>
      <c r="K12" s="2">
        <v>1000000</v>
      </c>
      <c r="L12" s="2">
        <v>90</v>
      </c>
    </row>
    <row r="13" spans="1:12" x14ac:dyDescent="0.25">
      <c r="A13" s="2" t="s">
        <v>25</v>
      </c>
      <c r="B13" s="2" t="s">
        <v>13</v>
      </c>
      <c r="C13" s="2" t="s">
        <v>14</v>
      </c>
      <c r="D13" s="2">
        <v>11</v>
      </c>
      <c r="E13" s="2">
        <v>11</v>
      </c>
      <c r="F13" s="2">
        <v>20</v>
      </c>
      <c r="G13" s="2">
        <v>91</v>
      </c>
      <c r="H13" s="2">
        <v>30</v>
      </c>
      <c r="I13" s="2">
        <v>6</v>
      </c>
      <c r="J13" s="2">
        <v>1000000</v>
      </c>
      <c r="K13" s="2">
        <v>1000000</v>
      </c>
      <c r="L13" s="2">
        <v>90</v>
      </c>
    </row>
    <row r="14" spans="1:12" x14ac:dyDescent="0.25">
      <c r="A14" s="2" t="s">
        <v>25</v>
      </c>
      <c r="B14" s="2" t="s">
        <v>13</v>
      </c>
      <c r="C14" s="2" t="s">
        <v>14</v>
      </c>
      <c r="D14" s="2">
        <v>12</v>
      </c>
      <c r="E14" s="2">
        <v>12</v>
      </c>
      <c r="F14" s="2">
        <v>20</v>
      </c>
      <c r="G14" s="2">
        <v>91</v>
      </c>
      <c r="H14" s="2">
        <v>30</v>
      </c>
      <c r="I14" s="2">
        <v>6</v>
      </c>
      <c r="J14" s="2">
        <v>1000000</v>
      </c>
      <c r="K14" s="2">
        <v>1000000</v>
      </c>
      <c r="L14" s="2">
        <v>90</v>
      </c>
    </row>
    <row r="15" spans="1:12" x14ac:dyDescent="0.25">
      <c r="A15" s="2" t="s">
        <v>25</v>
      </c>
      <c r="B15" s="2" t="s">
        <v>13</v>
      </c>
      <c r="C15" s="2" t="s">
        <v>14</v>
      </c>
      <c r="D15" s="2">
        <v>13</v>
      </c>
      <c r="E15" s="2">
        <v>13</v>
      </c>
      <c r="F15" s="2">
        <v>20</v>
      </c>
      <c r="G15" s="2">
        <v>91</v>
      </c>
      <c r="H15" s="2">
        <v>30</v>
      </c>
      <c r="I15" s="2">
        <v>6</v>
      </c>
      <c r="J15" s="2">
        <v>1000000</v>
      </c>
      <c r="K15" s="2">
        <v>1380</v>
      </c>
      <c r="L15" s="2">
        <v>91</v>
      </c>
    </row>
    <row r="16" spans="1:12" x14ac:dyDescent="0.25">
      <c r="A16" s="2" t="s">
        <v>25</v>
      </c>
      <c r="B16" s="2" t="s">
        <v>13</v>
      </c>
      <c r="C16" s="2" t="s">
        <v>14</v>
      </c>
      <c r="D16" s="2">
        <v>14</v>
      </c>
      <c r="E16" s="2">
        <v>14</v>
      </c>
      <c r="F16" s="2">
        <v>20</v>
      </c>
      <c r="G16" s="2">
        <v>91</v>
      </c>
      <c r="H16" s="2">
        <v>30</v>
      </c>
      <c r="I16" s="2">
        <v>6</v>
      </c>
      <c r="J16" s="2">
        <v>1000000</v>
      </c>
      <c r="K16" s="2">
        <v>1000000</v>
      </c>
      <c r="L16" s="2">
        <v>89</v>
      </c>
    </row>
    <row r="17" spans="1:12" x14ac:dyDescent="0.25">
      <c r="A17" s="2" t="s">
        <v>25</v>
      </c>
      <c r="B17" s="2" t="s">
        <v>13</v>
      </c>
      <c r="C17" s="2" t="s">
        <v>14</v>
      </c>
      <c r="D17" s="2">
        <v>15</v>
      </c>
      <c r="E17" s="2">
        <v>15</v>
      </c>
      <c r="F17" s="2">
        <v>20</v>
      </c>
      <c r="G17" s="2">
        <v>91</v>
      </c>
      <c r="H17" s="2">
        <v>30</v>
      </c>
      <c r="I17" s="2">
        <v>6</v>
      </c>
      <c r="J17" s="2">
        <v>1000000</v>
      </c>
      <c r="K17" s="2">
        <v>1000000</v>
      </c>
      <c r="L17" s="2">
        <v>90</v>
      </c>
    </row>
    <row r="18" spans="1:12" x14ac:dyDescent="0.25">
      <c r="A18" s="2" t="s">
        <v>25</v>
      </c>
      <c r="B18" s="2" t="s">
        <v>13</v>
      </c>
      <c r="C18" s="2" t="s">
        <v>14</v>
      </c>
      <c r="D18" s="2">
        <v>16</v>
      </c>
      <c r="E18" s="2">
        <v>16</v>
      </c>
      <c r="F18" s="2">
        <v>20</v>
      </c>
      <c r="G18" s="2">
        <v>91</v>
      </c>
      <c r="H18" s="2">
        <v>30</v>
      </c>
      <c r="I18" s="2">
        <v>6</v>
      </c>
      <c r="J18" s="2">
        <v>1000000</v>
      </c>
      <c r="K18" s="2">
        <v>41640</v>
      </c>
      <c r="L18" s="2">
        <v>91</v>
      </c>
    </row>
    <row r="19" spans="1:12" x14ac:dyDescent="0.25">
      <c r="A19" s="2" t="s">
        <v>25</v>
      </c>
      <c r="B19" s="2" t="s">
        <v>13</v>
      </c>
      <c r="C19" s="2" t="s">
        <v>14</v>
      </c>
      <c r="D19" s="2">
        <v>17</v>
      </c>
      <c r="E19" s="2">
        <v>17</v>
      </c>
      <c r="F19" s="2">
        <v>20</v>
      </c>
      <c r="G19" s="2">
        <v>91</v>
      </c>
      <c r="H19" s="2">
        <v>30</v>
      </c>
      <c r="I19" s="2">
        <v>6</v>
      </c>
      <c r="J19" s="2">
        <v>1000000</v>
      </c>
      <c r="K19" s="2">
        <v>1000000</v>
      </c>
      <c r="L19" s="2">
        <v>89</v>
      </c>
    </row>
    <row r="20" spans="1:12" x14ac:dyDescent="0.25">
      <c r="A20" s="2" t="s">
        <v>25</v>
      </c>
      <c r="B20" s="2" t="s">
        <v>13</v>
      </c>
      <c r="C20" s="2" t="s">
        <v>14</v>
      </c>
      <c r="D20" s="2">
        <v>18</v>
      </c>
      <c r="E20" s="2">
        <v>18</v>
      </c>
      <c r="F20" s="2">
        <v>20</v>
      </c>
      <c r="G20" s="2">
        <v>91</v>
      </c>
      <c r="H20" s="2">
        <v>30</v>
      </c>
      <c r="I20" s="2">
        <v>6</v>
      </c>
      <c r="J20" s="2">
        <v>1000000</v>
      </c>
      <c r="K20" s="2">
        <v>1000000</v>
      </c>
      <c r="L20" s="2">
        <v>89</v>
      </c>
    </row>
    <row r="21" spans="1:12" x14ac:dyDescent="0.25">
      <c r="A21" s="2" t="s">
        <v>25</v>
      </c>
      <c r="B21" s="2" t="s">
        <v>13</v>
      </c>
      <c r="C21" s="2" t="s">
        <v>14</v>
      </c>
      <c r="D21" s="2">
        <v>19</v>
      </c>
      <c r="E21" s="2">
        <v>19</v>
      </c>
      <c r="F21" s="2">
        <v>20</v>
      </c>
      <c r="G21" s="2">
        <v>91</v>
      </c>
      <c r="H21" s="2">
        <v>30</v>
      </c>
      <c r="I21" s="2">
        <v>6</v>
      </c>
      <c r="J21" s="2">
        <v>1000000</v>
      </c>
      <c r="K21" s="2">
        <v>1000000</v>
      </c>
      <c r="L21" s="2">
        <v>90</v>
      </c>
    </row>
    <row r="22" spans="1:12" x14ac:dyDescent="0.25">
      <c r="A22" s="2" t="s">
        <v>25</v>
      </c>
      <c r="B22" s="2" t="s">
        <v>13</v>
      </c>
      <c r="C22" s="2" t="s">
        <v>14</v>
      </c>
      <c r="D22" s="2">
        <v>20</v>
      </c>
      <c r="E22" s="2">
        <v>20</v>
      </c>
      <c r="F22" s="2">
        <v>20</v>
      </c>
      <c r="G22" s="2">
        <v>91</v>
      </c>
      <c r="H22" s="2">
        <v>30</v>
      </c>
      <c r="I22" s="2">
        <v>6</v>
      </c>
      <c r="J22" s="2">
        <v>1000000</v>
      </c>
      <c r="K22" s="2">
        <v>1000000</v>
      </c>
      <c r="L22" s="2">
        <v>90</v>
      </c>
    </row>
    <row r="23" spans="1:12" x14ac:dyDescent="0.25">
      <c r="A23" s="2" t="s">
        <v>25</v>
      </c>
      <c r="B23" s="2" t="s">
        <v>13</v>
      </c>
      <c r="C23" s="2" t="s">
        <v>14</v>
      </c>
      <c r="D23" s="2">
        <v>21</v>
      </c>
      <c r="E23" s="2">
        <v>21</v>
      </c>
      <c r="F23" s="2">
        <v>20</v>
      </c>
      <c r="G23" s="2">
        <v>91</v>
      </c>
      <c r="H23" s="2">
        <v>30</v>
      </c>
      <c r="I23" s="2">
        <v>6</v>
      </c>
      <c r="J23" s="2">
        <v>1000000</v>
      </c>
      <c r="K23" s="2">
        <v>1000000</v>
      </c>
      <c r="L23" s="2">
        <v>90</v>
      </c>
    </row>
    <row r="24" spans="1:12" x14ac:dyDescent="0.25">
      <c r="A24" s="2" t="s">
        <v>25</v>
      </c>
      <c r="B24" s="2" t="s">
        <v>13</v>
      </c>
      <c r="C24" s="2" t="s">
        <v>14</v>
      </c>
      <c r="D24" s="2">
        <v>22</v>
      </c>
      <c r="E24" s="2">
        <v>22</v>
      </c>
      <c r="F24" s="2">
        <v>20</v>
      </c>
      <c r="G24" s="2">
        <v>91</v>
      </c>
      <c r="H24" s="2">
        <v>30</v>
      </c>
      <c r="I24" s="2">
        <v>6</v>
      </c>
      <c r="J24" s="2">
        <v>1000000</v>
      </c>
      <c r="K24" s="2">
        <v>4470</v>
      </c>
      <c r="L24" s="2">
        <v>91</v>
      </c>
    </row>
    <row r="25" spans="1:12" x14ac:dyDescent="0.25">
      <c r="A25" s="2" t="s">
        <v>25</v>
      </c>
      <c r="B25" s="2" t="s">
        <v>13</v>
      </c>
      <c r="C25" s="2" t="s">
        <v>14</v>
      </c>
      <c r="D25" s="2">
        <v>23</v>
      </c>
      <c r="E25" s="2">
        <v>23</v>
      </c>
      <c r="F25" s="2">
        <v>20</v>
      </c>
      <c r="G25" s="2">
        <v>91</v>
      </c>
      <c r="H25" s="2">
        <v>30</v>
      </c>
      <c r="I25" s="2">
        <v>6</v>
      </c>
      <c r="J25" s="2">
        <v>1000000</v>
      </c>
      <c r="K25" s="2">
        <v>90</v>
      </c>
      <c r="L25" s="2">
        <v>91</v>
      </c>
    </row>
    <row r="26" spans="1:12" x14ac:dyDescent="0.25">
      <c r="A26" s="2" t="s">
        <v>25</v>
      </c>
      <c r="B26" s="2" t="s">
        <v>13</v>
      </c>
      <c r="C26" s="2" t="s">
        <v>14</v>
      </c>
      <c r="D26" s="2">
        <v>24</v>
      </c>
      <c r="E26" s="2">
        <v>24</v>
      </c>
      <c r="F26" s="2">
        <v>20</v>
      </c>
      <c r="G26" s="2">
        <v>91</v>
      </c>
      <c r="H26" s="2">
        <v>30</v>
      </c>
      <c r="I26" s="2">
        <v>6</v>
      </c>
      <c r="J26" s="2">
        <v>1000000</v>
      </c>
      <c r="K26" s="2">
        <v>1000000</v>
      </c>
      <c r="L26" s="2">
        <v>90</v>
      </c>
    </row>
    <row r="27" spans="1:12" x14ac:dyDescent="0.25">
      <c r="A27" s="2" t="s">
        <v>25</v>
      </c>
      <c r="B27" s="2" t="s">
        <v>13</v>
      </c>
      <c r="C27" s="2" t="s">
        <v>14</v>
      </c>
      <c r="D27" s="2">
        <v>25</v>
      </c>
      <c r="E27" s="2">
        <v>25</v>
      </c>
      <c r="F27" s="2">
        <v>20</v>
      </c>
      <c r="G27" s="2">
        <v>91</v>
      </c>
      <c r="H27" s="2">
        <v>30</v>
      </c>
      <c r="I27" s="2">
        <v>6</v>
      </c>
      <c r="J27" s="2">
        <v>1000000</v>
      </c>
      <c r="K27" s="2">
        <v>5670</v>
      </c>
      <c r="L27" s="2">
        <v>91</v>
      </c>
    </row>
    <row r="28" spans="1:12" x14ac:dyDescent="0.25">
      <c r="A28" s="2" t="s">
        <v>25</v>
      </c>
      <c r="B28" s="2" t="s">
        <v>13</v>
      </c>
      <c r="C28" s="2" t="s">
        <v>14</v>
      </c>
      <c r="D28" s="2">
        <v>26</v>
      </c>
      <c r="E28" s="2">
        <v>26</v>
      </c>
      <c r="F28" s="2">
        <v>20</v>
      </c>
      <c r="G28" s="2">
        <v>91</v>
      </c>
      <c r="H28" s="2">
        <v>30</v>
      </c>
      <c r="I28" s="2">
        <v>6</v>
      </c>
      <c r="J28" s="2">
        <v>1000000</v>
      </c>
      <c r="K28" s="2">
        <v>1000000</v>
      </c>
      <c r="L28" s="2">
        <v>90</v>
      </c>
    </row>
    <row r="29" spans="1:12" x14ac:dyDescent="0.25">
      <c r="A29" s="2" t="s">
        <v>25</v>
      </c>
      <c r="B29" s="2" t="s">
        <v>13</v>
      </c>
      <c r="C29" s="2" t="s">
        <v>14</v>
      </c>
      <c r="D29" s="2">
        <v>27</v>
      </c>
      <c r="E29" s="2">
        <v>27</v>
      </c>
      <c r="F29" s="2">
        <v>20</v>
      </c>
      <c r="G29" s="2">
        <v>91</v>
      </c>
      <c r="H29" s="2">
        <v>30</v>
      </c>
      <c r="I29" s="2">
        <v>6</v>
      </c>
      <c r="J29" s="2">
        <v>1000000</v>
      </c>
      <c r="K29" s="2">
        <v>1000000</v>
      </c>
      <c r="L29" s="2">
        <v>90</v>
      </c>
    </row>
    <row r="30" spans="1:12" x14ac:dyDescent="0.25">
      <c r="A30" s="2" t="s">
        <v>25</v>
      </c>
      <c r="B30" s="2" t="s">
        <v>13</v>
      </c>
      <c r="C30" s="2" t="s">
        <v>14</v>
      </c>
      <c r="D30" s="2">
        <v>28</v>
      </c>
      <c r="E30" s="2">
        <v>28</v>
      </c>
      <c r="F30" s="2">
        <v>20</v>
      </c>
      <c r="G30" s="2">
        <v>91</v>
      </c>
      <c r="H30" s="2">
        <v>30</v>
      </c>
      <c r="I30" s="2">
        <v>6</v>
      </c>
      <c r="J30" s="2">
        <v>1000000</v>
      </c>
      <c r="K30" s="2">
        <v>1000000</v>
      </c>
      <c r="L30" s="2">
        <v>90</v>
      </c>
    </row>
    <row r="31" spans="1:12" x14ac:dyDescent="0.25">
      <c r="A31" s="2" t="s">
        <v>25</v>
      </c>
      <c r="B31" s="2" t="s">
        <v>13</v>
      </c>
      <c r="C31" s="2" t="s">
        <v>14</v>
      </c>
      <c r="D31" s="2">
        <v>29</v>
      </c>
      <c r="E31" s="2">
        <v>29</v>
      </c>
      <c r="F31" s="2">
        <v>20</v>
      </c>
      <c r="G31" s="2">
        <v>91</v>
      </c>
      <c r="H31" s="2">
        <v>30</v>
      </c>
      <c r="I31" s="2">
        <v>6</v>
      </c>
      <c r="J31" s="2">
        <v>1000000</v>
      </c>
      <c r="K31" s="2">
        <v>2370</v>
      </c>
      <c r="L31" s="2">
        <v>91</v>
      </c>
    </row>
    <row r="32" spans="1:12" x14ac:dyDescent="0.25">
      <c r="A32" s="3" t="s">
        <v>25</v>
      </c>
      <c r="B32" s="3" t="s">
        <v>15</v>
      </c>
      <c r="C32" s="3" t="s">
        <v>16</v>
      </c>
      <c r="D32" s="3">
        <v>0</v>
      </c>
      <c r="E32" s="3">
        <v>0</v>
      </c>
      <c r="F32" s="3">
        <v>100</v>
      </c>
      <c r="G32" s="3">
        <v>430</v>
      </c>
      <c r="H32" s="3">
        <v>75</v>
      </c>
      <c r="I32" s="3">
        <v>6</v>
      </c>
      <c r="J32" s="3">
        <v>1000000</v>
      </c>
      <c r="K32" s="3">
        <v>1000000</v>
      </c>
      <c r="L32" s="3">
        <v>423</v>
      </c>
    </row>
    <row r="33" spans="1:12" x14ac:dyDescent="0.25">
      <c r="A33" s="3" t="s">
        <v>25</v>
      </c>
      <c r="B33" s="3" t="s">
        <v>15</v>
      </c>
      <c r="C33" s="3" t="s">
        <v>16</v>
      </c>
      <c r="D33" s="3">
        <v>1</v>
      </c>
      <c r="E33" s="3">
        <v>1</v>
      </c>
      <c r="F33" s="3">
        <v>100</v>
      </c>
      <c r="G33" s="3">
        <v>430</v>
      </c>
      <c r="H33" s="3">
        <v>75</v>
      </c>
      <c r="I33" s="3">
        <v>6</v>
      </c>
      <c r="J33" s="3">
        <v>1000000</v>
      </c>
      <c r="K33" s="3">
        <v>1000000</v>
      </c>
      <c r="L33" s="3">
        <v>423</v>
      </c>
    </row>
    <row r="34" spans="1:12" x14ac:dyDescent="0.25">
      <c r="A34" s="3" t="s">
        <v>25</v>
      </c>
      <c r="B34" s="3" t="s">
        <v>15</v>
      </c>
      <c r="C34" s="3" t="s">
        <v>16</v>
      </c>
      <c r="D34" s="3">
        <v>2</v>
      </c>
      <c r="E34" s="3">
        <v>2</v>
      </c>
      <c r="F34" s="3">
        <v>100</v>
      </c>
      <c r="G34" s="3">
        <v>430</v>
      </c>
      <c r="H34" s="3">
        <v>75</v>
      </c>
      <c r="I34" s="3">
        <v>6</v>
      </c>
      <c r="J34" s="3">
        <v>1000000</v>
      </c>
      <c r="K34" s="3">
        <v>1000000</v>
      </c>
      <c r="L34" s="3">
        <v>421</v>
      </c>
    </row>
    <row r="35" spans="1:12" x14ac:dyDescent="0.25">
      <c r="A35" s="3" t="s">
        <v>25</v>
      </c>
      <c r="B35" s="3" t="s">
        <v>15</v>
      </c>
      <c r="C35" s="3" t="s">
        <v>16</v>
      </c>
      <c r="D35" s="3">
        <v>3</v>
      </c>
      <c r="E35" s="3">
        <v>3</v>
      </c>
      <c r="F35" s="3">
        <v>100</v>
      </c>
      <c r="G35" s="3">
        <v>430</v>
      </c>
      <c r="H35" s="3">
        <v>75</v>
      </c>
      <c r="I35" s="3">
        <v>6</v>
      </c>
      <c r="J35" s="3">
        <v>1000000</v>
      </c>
      <c r="K35" s="3">
        <v>1000000</v>
      </c>
      <c r="L35" s="3">
        <v>418</v>
      </c>
    </row>
    <row r="36" spans="1:12" x14ac:dyDescent="0.25">
      <c r="A36" s="3" t="s">
        <v>25</v>
      </c>
      <c r="B36" s="3" t="s">
        <v>15</v>
      </c>
      <c r="C36" s="3" t="s">
        <v>16</v>
      </c>
      <c r="D36" s="3">
        <v>4</v>
      </c>
      <c r="E36" s="3">
        <v>4</v>
      </c>
      <c r="F36" s="3">
        <v>100</v>
      </c>
      <c r="G36" s="3">
        <v>430</v>
      </c>
      <c r="H36" s="3">
        <v>75</v>
      </c>
      <c r="I36" s="3">
        <v>6</v>
      </c>
      <c r="J36" s="3">
        <v>1000000</v>
      </c>
      <c r="K36" s="3">
        <v>1000000</v>
      </c>
      <c r="L36" s="3">
        <v>422</v>
      </c>
    </row>
    <row r="37" spans="1:12" x14ac:dyDescent="0.25">
      <c r="A37" s="3" t="s">
        <v>25</v>
      </c>
      <c r="B37" s="3" t="s">
        <v>15</v>
      </c>
      <c r="C37" s="3" t="s">
        <v>16</v>
      </c>
      <c r="D37" s="3">
        <v>5</v>
      </c>
      <c r="E37" s="3">
        <v>5</v>
      </c>
      <c r="F37" s="3">
        <v>100</v>
      </c>
      <c r="G37" s="3">
        <v>430</v>
      </c>
      <c r="H37" s="3">
        <v>75</v>
      </c>
      <c r="I37" s="3">
        <v>6</v>
      </c>
      <c r="J37" s="3">
        <v>1000000</v>
      </c>
      <c r="K37" s="3">
        <v>1000000</v>
      </c>
      <c r="L37" s="3">
        <v>421</v>
      </c>
    </row>
    <row r="38" spans="1:12" x14ac:dyDescent="0.25">
      <c r="A38" s="3" t="s">
        <v>25</v>
      </c>
      <c r="B38" s="3" t="s">
        <v>15</v>
      </c>
      <c r="C38" s="3" t="s">
        <v>16</v>
      </c>
      <c r="D38" s="3">
        <v>6</v>
      </c>
      <c r="E38" s="3">
        <v>6</v>
      </c>
      <c r="F38" s="3">
        <v>100</v>
      </c>
      <c r="G38" s="3">
        <v>430</v>
      </c>
      <c r="H38" s="3">
        <v>75</v>
      </c>
      <c r="I38" s="3">
        <v>6</v>
      </c>
      <c r="J38" s="3">
        <v>1000000</v>
      </c>
      <c r="K38" s="3">
        <v>1000000</v>
      </c>
      <c r="L38" s="3">
        <v>424</v>
      </c>
    </row>
    <row r="39" spans="1:12" x14ac:dyDescent="0.25">
      <c r="A39" s="3" t="s">
        <v>25</v>
      </c>
      <c r="B39" s="3" t="s">
        <v>15</v>
      </c>
      <c r="C39" s="3" t="s">
        <v>16</v>
      </c>
      <c r="D39" s="3">
        <v>7</v>
      </c>
      <c r="E39" s="3">
        <v>7</v>
      </c>
      <c r="F39" s="3">
        <v>100</v>
      </c>
      <c r="G39" s="3">
        <v>430</v>
      </c>
      <c r="H39" s="3">
        <v>75</v>
      </c>
      <c r="I39" s="3">
        <v>6</v>
      </c>
      <c r="J39" s="3">
        <v>1000000</v>
      </c>
      <c r="K39" s="3">
        <v>1000000</v>
      </c>
      <c r="L39" s="3">
        <v>416</v>
      </c>
    </row>
    <row r="40" spans="1:12" x14ac:dyDescent="0.25">
      <c r="A40" s="3" t="s">
        <v>25</v>
      </c>
      <c r="B40" s="3" t="s">
        <v>15</v>
      </c>
      <c r="C40" s="3" t="s">
        <v>16</v>
      </c>
      <c r="D40" s="3">
        <v>8</v>
      </c>
      <c r="E40" s="3">
        <v>8</v>
      </c>
      <c r="F40" s="3">
        <v>100</v>
      </c>
      <c r="G40" s="3">
        <v>430</v>
      </c>
      <c r="H40" s="3">
        <v>75</v>
      </c>
      <c r="I40" s="3">
        <v>6</v>
      </c>
      <c r="J40" s="3">
        <v>1000000</v>
      </c>
      <c r="K40" s="3">
        <v>1000000</v>
      </c>
      <c r="L40" s="3">
        <v>416</v>
      </c>
    </row>
    <row r="41" spans="1:12" x14ac:dyDescent="0.25">
      <c r="A41" s="3" t="s">
        <v>25</v>
      </c>
      <c r="B41" s="3" t="s">
        <v>15</v>
      </c>
      <c r="C41" s="3" t="s">
        <v>16</v>
      </c>
      <c r="D41" s="3">
        <v>9</v>
      </c>
      <c r="E41" s="3">
        <v>9</v>
      </c>
      <c r="F41" s="3">
        <v>100</v>
      </c>
      <c r="G41" s="3">
        <v>430</v>
      </c>
      <c r="H41" s="3">
        <v>75</v>
      </c>
      <c r="I41" s="3">
        <v>6</v>
      </c>
      <c r="J41" s="3">
        <v>1000000</v>
      </c>
      <c r="K41" s="3">
        <v>1000000</v>
      </c>
      <c r="L41" s="3">
        <v>417</v>
      </c>
    </row>
    <row r="42" spans="1:12" x14ac:dyDescent="0.25">
      <c r="A42" s="3" t="s">
        <v>25</v>
      </c>
      <c r="B42" s="3" t="s">
        <v>15</v>
      </c>
      <c r="C42" s="3" t="s">
        <v>16</v>
      </c>
      <c r="D42" s="3">
        <v>10</v>
      </c>
      <c r="E42" s="3">
        <v>10</v>
      </c>
      <c r="F42" s="3">
        <v>100</v>
      </c>
      <c r="G42" s="3">
        <v>430</v>
      </c>
      <c r="H42" s="3">
        <v>75</v>
      </c>
      <c r="I42" s="3">
        <v>6</v>
      </c>
      <c r="J42" s="3">
        <v>1000000</v>
      </c>
      <c r="K42" s="3">
        <v>1000000</v>
      </c>
      <c r="L42" s="3">
        <v>425</v>
      </c>
    </row>
    <row r="43" spans="1:12" x14ac:dyDescent="0.25">
      <c r="A43" s="3" t="s">
        <v>25</v>
      </c>
      <c r="B43" s="3" t="s">
        <v>15</v>
      </c>
      <c r="C43" s="3" t="s">
        <v>16</v>
      </c>
      <c r="D43" s="3">
        <v>11</v>
      </c>
      <c r="E43" s="3">
        <v>11</v>
      </c>
      <c r="F43" s="3">
        <v>100</v>
      </c>
      <c r="G43" s="3">
        <v>430</v>
      </c>
      <c r="H43" s="3">
        <v>75</v>
      </c>
      <c r="I43" s="3">
        <v>6</v>
      </c>
      <c r="J43" s="3">
        <v>1000000</v>
      </c>
      <c r="K43" s="3">
        <v>1000000</v>
      </c>
      <c r="L43" s="3">
        <v>409</v>
      </c>
    </row>
    <row r="44" spans="1:12" x14ac:dyDescent="0.25">
      <c r="A44" s="3" t="s">
        <v>25</v>
      </c>
      <c r="B44" s="3" t="s">
        <v>15</v>
      </c>
      <c r="C44" s="3" t="s">
        <v>16</v>
      </c>
      <c r="D44" s="3">
        <v>12</v>
      </c>
      <c r="E44" s="3">
        <v>12</v>
      </c>
      <c r="F44" s="3">
        <v>100</v>
      </c>
      <c r="G44" s="3">
        <v>430</v>
      </c>
      <c r="H44" s="3">
        <v>75</v>
      </c>
      <c r="I44" s="3">
        <v>6</v>
      </c>
      <c r="J44" s="3">
        <v>1000000</v>
      </c>
      <c r="K44" s="3">
        <v>1000000</v>
      </c>
      <c r="L44" s="3">
        <v>418</v>
      </c>
    </row>
    <row r="45" spans="1:12" x14ac:dyDescent="0.25">
      <c r="A45" s="3" t="s">
        <v>25</v>
      </c>
      <c r="B45" s="3" t="s">
        <v>15</v>
      </c>
      <c r="C45" s="3" t="s">
        <v>16</v>
      </c>
      <c r="D45" s="3">
        <v>13</v>
      </c>
      <c r="E45" s="3">
        <v>13</v>
      </c>
      <c r="F45" s="3">
        <v>100</v>
      </c>
      <c r="G45" s="3">
        <v>430</v>
      </c>
      <c r="H45" s="3">
        <v>75</v>
      </c>
      <c r="I45" s="3">
        <v>6</v>
      </c>
      <c r="J45" s="3">
        <v>1000000</v>
      </c>
      <c r="K45" s="3">
        <v>1000000</v>
      </c>
      <c r="L45" s="3">
        <v>422</v>
      </c>
    </row>
    <row r="46" spans="1:12" x14ac:dyDescent="0.25">
      <c r="A46" s="3" t="s">
        <v>25</v>
      </c>
      <c r="B46" s="3" t="s">
        <v>15</v>
      </c>
      <c r="C46" s="3" t="s">
        <v>16</v>
      </c>
      <c r="D46" s="3">
        <v>14</v>
      </c>
      <c r="E46" s="3">
        <v>14</v>
      </c>
      <c r="F46" s="3">
        <v>100</v>
      </c>
      <c r="G46" s="3">
        <v>430</v>
      </c>
      <c r="H46" s="3">
        <v>75</v>
      </c>
      <c r="I46" s="3">
        <v>6</v>
      </c>
      <c r="J46" s="3">
        <v>1000000</v>
      </c>
      <c r="K46" s="3">
        <v>1000000</v>
      </c>
      <c r="L46" s="3">
        <v>420</v>
      </c>
    </row>
    <row r="47" spans="1:12" x14ac:dyDescent="0.25">
      <c r="A47" s="3" t="s">
        <v>25</v>
      </c>
      <c r="B47" s="3" t="s">
        <v>15</v>
      </c>
      <c r="C47" s="3" t="s">
        <v>16</v>
      </c>
      <c r="D47" s="3">
        <v>15</v>
      </c>
      <c r="E47" s="3">
        <v>15</v>
      </c>
      <c r="F47" s="3">
        <v>100</v>
      </c>
      <c r="G47" s="3">
        <v>430</v>
      </c>
      <c r="H47" s="3">
        <v>75</v>
      </c>
      <c r="I47" s="3">
        <v>6</v>
      </c>
      <c r="J47" s="3">
        <v>1000000</v>
      </c>
      <c r="K47" s="3">
        <v>1000000</v>
      </c>
      <c r="L47" s="3">
        <v>422</v>
      </c>
    </row>
    <row r="48" spans="1:12" x14ac:dyDescent="0.25">
      <c r="A48" s="3" t="s">
        <v>25</v>
      </c>
      <c r="B48" s="3" t="s">
        <v>15</v>
      </c>
      <c r="C48" s="3" t="s">
        <v>16</v>
      </c>
      <c r="D48" s="3">
        <v>16</v>
      </c>
      <c r="E48" s="3">
        <v>16</v>
      </c>
      <c r="F48" s="3">
        <v>100</v>
      </c>
      <c r="G48" s="3">
        <v>430</v>
      </c>
      <c r="H48" s="3">
        <v>75</v>
      </c>
      <c r="I48" s="3">
        <v>6</v>
      </c>
      <c r="J48" s="3">
        <v>1000000</v>
      </c>
      <c r="K48" s="3">
        <v>1000000</v>
      </c>
      <c r="L48" s="3">
        <v>420</v>
      </c>
    </row>
    <row r="49" spans="1:12" x14ac:dyDescent="0.25">
      <c r="A49" s="3" t="s">
        <v>25</v>
      </c>
      <c r="B49" s="3" t="s">
        <v>15</v>
      </c>
      <c r="C49" s="3" t="s">
        <v>16</v>
      </c>
      <c r="D49" s="3">
        <v>17</v>
      </c>
      <c r="E49" s="3">
        <v>17</v>
      </c>
      <c r="F49" s="3">
        <v>100</v>
      </c>
      <c r="G49" s="3">
        <v>430</v>
      </c>
      <c r="H49" s="3">
        <v>75</v>
      </c>
      <c r="I49" s="3">
        <v>6</v>
      </c>
      <c r="J49" s="3">
        <v>1000000</v>
      </c>
      <c r="K49" s="3">
        <v>1000000</v>
      </c>
      <c r="L49" s="3">
        <v>424</v>
      </c>
    </row>
    <row r="50" spans="1:12" x14ac:dyDescent="0.25">
      <c r="A50" s="3" t="s">
        <v>25</v>
      </c>
      <c r="B50" s="3" t="s">
        <v>15</v>
      </c>
      <c r="C50" s="3" t="s">
        <v>16</v>
      </c>
      <c r="D50" s="3">
        <v>18</v>
      </c>
      <c r="E50" s="3">
        <v>18</v>
      </c>
      <c r="F50" s="3">
        <v>100</v>
      </c>
      <c r="G50" s="3">
        <v>430</v>
      </c>
      <c r="H50" s="3">
        <v>75</v>
      </c>
      <c r="I50" s="3">
        <v>6</v>
      </c>
      <c r="J50" s="3">
        <v>1000000</v>
      </c>
      <c r="K50" s="3">
        <v>1000000</v>
      </c>
      <c r="L50" s="3">
        <v>421</v>
      </c>
    </row>
    <row r="51" spans="1:12" x14ac:dyDescent="0.25">
      <c r="A51" s="3" t="s">
        <v>25</v>
      </c>
      <c r="B51" s="3" t="s">
        <v>15</v>
      </c>
      <c r="C51" s="3" t="s">
        <v>16</v>
      </c>
      <c r="D51" s="3">
        <v>19</v>
      </c>
      <c r="E51" s="3">
        <v>19</v>
      </c>
      <c r="F51" s="3">
        <v>100</v>
      </c>
      <c r="G51" s="3">
        <v>430</v>
      </c>
      <c r="H51" s="3">
        <v>75</v>
      </c>
      <c r="I51" s="3">
        <v>6</v>
      </c>
      <c r="J51" s="3">
        <v>1000000</v>
      </c>
      <c r="K51" s="3">
        <v>1000000</v>
      </c>
      <c r="L51" s="3">
        <v>422</v>
      </c>
    </row>
    <row r="52" spans="1:12" x14ac:dyDescent="0.25">
      <c r="A52" s="3" t="s">
        <v>25</v>
      </c>
      <c r="B52" s="3" t="s">
        <v>15</v>
      </c>
      <c r="C52" s="3" t="s">
        <v>16</v>
      </c>
      <c r="D52" s="3">
        <v>20</v>
      </c>
      <c r="E52" s="3">
        <v>20</v>
      </c>
      <c r="F52" s="3">
        <v>100</v>
      </c>
      <c r="G52" s="3">
        <v>430</v>
      </c>
      <c r="H52" s="3">
        <v>75</v>
      </c>
      <c r="I52" s="3">
        <v>6</v>
      </c>
      <c r="J52" s="3">
        <v>1000000</v>
      </c>
      <c r="K52" s="3">
        <v>1000000</v>
      </c>
      <c r="L52" s="3">
        <v>424</v>
      </c>
    </row>
    <row r="53" spans="1:12" x14ac:dyDescent="0.25">
      <c r="A53" s="3" t="s">
        <v>25</v>
      </c>
      <c r="B53" s="3" t="s">
        <v>15</v>
      </c>
      <c r="C53" s="3" t="s">
        <v>16</v>
      </c>
      <c r="D53" s="3">
        <v>21</v>
      </c>
      <c r="E53" s="3">
        <v>21</v>
      </c>
      <c r="F53" s="3">
        <v>100</v>
      </c>
      <c r="G53" s="3">
        <v>430</v>
      </c>
      <c r="H53" s="3">
        <v>75</v>
      </c>
      <c r="I53" s="3">
        <v>6</v>
      </c>
      <c r="J53" s="3">
        <v>1000000</v>
      </c>
      <c r="K53" s="3">
        <v>1000000</v>
      </c>
      <c r="L53" s="3">
        <v>425</v>
      </c>
    </row>
    <row r="54" spans="1:12" x14ac:dyDescent="0.25">
      <c r="A54" s="3" t="s">
        <v>25</v>
      </c>
      <c r="B54" s="3" t="s">
        <v>15</v>
      </c>
      <c r="C54" s="3" t="s">
        <v>16</v>
      </c>
      <c r="D54" s="3">
        <v>22</v>
      </c>
      <c r="E54" s="3">
        <v>22</v>
      </c>
      <c r="F54" s="3">
        <v>100</v>
      </c>
      <c r="G54" s="3">
        <v>430</v>
      </c>
      <c r="H54" s="3">
        <v>75</v>
      </c>
      <c r="I54" s="3">
        <v>6</v>
      </c>
      <c r="J54" s="3">
        <v>1000000</v>
      </c>
      <c r="K54" s="3">
        <v>1000000</v>
      </c>
      <c r="L54" s="3">
        <v>425</v>
      </c>
    </row>
    <row r="55" spans="1:12" x14ac:dyDescent="0.25">
      <c r="A55" s="3" t="s">
        <v>25</v>
      </c>
      <c r="B55" s="3" t="s">
        <v>15</v>
      </c>
      <c r="C55" s="3" t="s">
        <v>16</v>
      </c>
      <c r="D55" s="3">
        <v>23</v>
      </c>
      <c r="E55" s="3">
        <v>23</v>
      </c>
      <c r="F55" s="3">
        <v>100</v>
      </c>
      <c r="G55" s="3">
        <v>430</v>
      </c>
      <c r="H55" s="3">
        <v>75</v>
      </c>
      <c r="I55" s="3">
        <v>6</v>
      </c>
      <c r="J55" s="3">
        <v>1000000</v>
      </c>
      <c r="K55" s="3">
        <v>1000000</v>
      </c>
      <c r="L55" s="3">
        <v>424</v>
      </c>
    </row>
    <row r="56" spans="1:12" x14ac:dyDescent="0.25">
      <c r="A56" s="3" t="s">
        <v>25</v>
      </c>
      <c r="B56" s="3" t="s">
        <v>15</v>
      </c>
      <c r="C56" s="3" t="s">
        <v>16</v>
      </c>
      <c r="D56" s="3">
        <v>24</v>
      </c>
      <c r="E56" s="3">
        <v>24</v>
      </c>
      <c r="F56" s="3">
        <v>100</v>
      </c>
      <c r="G56" s="3">
        <v>430</v>
      </c>
      <c r="H56" s="3">
        <v>75</v>
      </c>
      <c r="I56" s="3">
        <v>6</v>
      </c>
      <c r="J56" s="3">
        <v>1000000</v>
      </c>
      <c r="K56" s="3">
        <v>1000000</v>
      </c>
      <c r="L56" s="3">
        <v>423</v>
      </c>
    </row>
    <row r="57" spans="1:12" x14ac:dyDescent="0.25">
      <c r="A57" s="3" t="s">
        <v>25</v>
      </c>
      <c r="B57" s="3" t="s">
        <v>15</v>
      </c>
      <c r="C57" s="3" t="s">
        <v>16</v>
      </c>
      <c r="D57" s="3">
        <v>25</v>
      </c>
      <c r="E57" s="3">
        <v>25</v>
      </c>
      <c r="F57" s="3">
        <v>100</v>
      </c>
      <c r="G57" s="3">
        <v>430</v>
      </c>
      <c r="H57" s="3">
        <v>75</v>
      </c>
      <c r="I57" s="3">
        <v>6</v>
      </c>
      <c r="J57" s="3">
        <v>1000000</v>
      </c>
      <c r="K57" s="3">
        <v>1000000</v>
      </c>
      <c r="L57" s="3">
        <v>418</v>
      </c>
    </row>
    <row r="58" spans="1:12" x14ac:dyDescent="0.25">
      <c r="A58" s="3" t="s">
        <v>25</v>
      </c>
      <c r="B58" s="3" t="s">
        <v>15</v>
      </c>
      <c r="C58" s="3" t="s">
        <v>16</v>
      </c>
      <c r="D58" s="3">
        <v>26</v>
      </c>
      <c r="E58" s="3">
        <v>26</v>
      </c>
      <c r="F58" s="3">
        <v>100</v>
      </c>
      <c r="G58" s="3">
        <v>430</v>
      </c>
      <c r="H58" s="3">
        <v>75</v>
      </c>
      <c r="I58" s="3">
        <v>6</v>
      </c>
      <c r="J58" s="3">
        <v>1000000</v>
      </c>
      <c r="K58" s="3">
        <v>1000000</v>
      </c>
      <c r="L58" s="3">
        <v>415</v>
      </c>
    </row>
    <row r="59" spans="1:12" x14ac:dyDescent="0.25">
      <c r="A59" s="3" t="s">
        <v>25</v>
      </c>
      <c r="B59" s="3" t="s">
        <v>15</v>
      </c>
      <c r="C59" s="3" t="s">
        <v>16</v>
      </c>
      <c r="D59" s="3">
        <v>27</v>
      </c>
      <c r="E59" s="3">
        <v>27</v>
      </c>
      <c r="F59" s="3">
        <v>100</v>
      </c>
      <c r="G59" s="3">
        <v>430</v>
      </c>
      <c r="H59" s="3">
        <v>75</v>
      </c>
      <c r="I59" s="3">
        <v>6</v>
      </c>
      <c r="J59" s="3">
        <v>1000000</v>
      </c>
      <c r="K59" s="3">
        <v>1000000</v>
      </c>
      <c r="L59" s="3">
        <v>422</v>
      </c>
    </row>
    <row r="60" spans="1:12" x14ac:dyDescent="0.25">
      <c r="A60" s="3" t="s">
        <v>25</v>
      </c>
      <c r="B60" s="3" t="s">
        <v>15</v>
      </c>
      <c r="C60" s="3" t="s">
        <v>16</v>
      </c>
      <c r="D60" s="3">
        <v>28</v>
      </c>
      <c r="E60" s="3">
        <v>28</v>
      </c>
      <c r="F60" s="3">
        <v>100</v>
      </c>
      <c r="G60" s="3">
        <v>430</v>
      </c>
      <c r="H60" s="3">
        <v>75</v>
      </c>
      <c r="I60" s="3">
        <v>6</v>
      </c>
      <c r="J60" s="3">
        <v>1000000</v>
      </c>
      <c r="K60" s="3">
        <v>1000000</v>
      </c>
      <c r="L60" s="3">
        <v>419</v>
      </c>
    </row>
    <row r="61" spans="1:12" x14ac:dyDescent="0.25">
      <c r="A61" s="3" t="s">
        <v>25</v>
      </c>
      <c r="B61" s="3" t="s">
        <v>15</v>
      </c>
      <c r="C61" s="3" t="s">
        <v>16</v>
      </c>
      <c r="D61" s="3">
        <v>29</v>
      </c>
      <c r="E61" s="3">
        <v>29</v>
      </c>
      <c r="F61" s="3">
        <v>100</v>
      </c>
      <c r="G61" s="3">
        <v>430</v>
      </c>
      <c r="H61" s="3">
        <v>75</v>
      </c>
      <c r="I61" s="3">
        <v>6</v>
      </c>
      <c r="J61" s="3">
        <v>1000000</v>
      </c>
      <c r="K61" s="3">
        <v>1000000</v>
      </c>
      <c r="L61" s="3">
        <v>421</v>
      </c>
    </row>
    <row r="62" spans="1:12" x14ac:dyDescent="0.25">
      <c r="A62" s="2" t="s">
        <v>25</v>
      </c>
      <c r="B62" s="2" t="s">
        <v>17</v>
      </c>
      <c r="C62" s="2" t="s">
        <v>18</v>
      </c>
      <c r="D62" s="2">
        <v>0</v>
      </c>
      <c r="E62" s="2">
        <v>0</v>
      </c>
      <c r="F62" s="2">
        <v>250</v>
      </c>
      <c r="G62" s="2">
        <v>1065</v>
      </c>
      <c r="H62" s="2">
        <v>350</v>
      </c>
      <c r="I62" s="2">
        <v>6</v>
      </c>
      <c r="J62" s="2">
        <v>1000000</v>
      </c>
      <c r="K62" s="2">
        <v>1000000</v>
      </c>
      <c r="L62" s="2">
        <v>1034</v>
      </c>
    </row>
    <row r="63" spans="1:12" x14ac:dyDescent="0.25">
      <c r="A63" s="2" t="s">
        <v>25</v>
      </c>
      <c r="B63" s="2" t="s">
        <v>17</v>
      </c>
      <c r="C63" s="2" t="s">
        <v>18</v>
      </c>
      <c r="D63" s="2">
        <v>1</v>
      </c>
      <c r="E63" s="2">
        <v>1</v>
      </c>
      <c r="F63" s="2">
        <v>250</v>
      </c>
      <c r="G63" s="2">
        <v>1065</v>
      </c>
      <c r="H63" s="2">
        <v>350</v>
      </c>
      <c r="I63" s="2">
        <v>6</v>
      </c>
      <c r="J63" s="2">
        <v>1000000</v>
      </c>
      <c r="K63" s="2">
        <v>1000000</v>
      </c>
      <c r="L63" s="2">
        <v>1044</v>
      </c>
    </row>
    <row r="64" spans="1:12" x14ac:dyDescent="0.25">
      <c r="A64" s="2" t="s">
        <v>25</v>
      </c>
      <c r="B64" s="2" t="s">
        <v>17</v>
      </c>
      <c r="C64" s="2" t="s">
        <v>18</v>
      </c>
      <c r="D64" s="2">
        <v>2</v>
      </c>
      <c r="E64" s="2">
        <v>2</v>
      </c>
      <c r="F64" s="2">
        <v>250</v>
      </c>
      <c r="G64" s="2">
        <v>1065</v>
      </c>
      <c r="H64" s="2">
        <v>350</v>
      </c>
      <c r="I64" s="2">
        <v>6</v>
      </c>
      <c r="J64" s="2">
        <v>1000000</v>
      </c>
      <c r="K64" s="2">
        <v>1000000</v>
      </c>
      <c r="L64" s="2">
        <v>1032</v>
      </c>
    </row>
    <row r="65" spans="1:12" x14ac:dyDescent="0.25">
      <c r="A65" s="2" t="s">
        <v>25</v>
      </c>
      <c r="B65" s="2" t="s">
        <v>17</v>
      </c>
      <c r="C65" s="2" t="s">
        <v>18</v>
      </c>
      <c r="D65" s="2">
        <v>3</v>
      </c>
      <c r="E65" s="2">
        <v>3</v>
      </c>
      <c r="F65" s="2">
        <v>250</v>
      </c>
      <c r="G65" s="2">
        <v>1065</v>
      </c>
      <c r="H65" s="2">
        <v>350</v>
      </c>
      <c r="I65" s="2">
        <v>6</v>
      </c>
      <c r="J65" s="2">
        <v>1000000</v>
      </c>
      <c r="K65" s="2">
        <v>1000000</v>
      </c>
      <c r="L65" s="2">
        <v>1042</v>
      </c>
    </row>
    <row r="66" spans="1:12" x14ac:dyDescent="0.25">
      <c r="A66" s="2" t="s">
        <v>25</v>
      </c>
      <c r="B66" s="2" t="s">
        <v>17</v>
      </c>
      <c r="C66" s="2" t="s">
        <v>18</v>
      </c>
      <c r="D66" s="2">
        <v>4</v>
      </c>
      <c r="E66" s="2">
        <v>4</v>
      </c>
      <c r="F66" s="2">
        <v>250</v>
      </c>
      <c r="G66" s="2">
        <v>1065</v>
      </c>
      <c r="H66" s="2">
        <v>350</v>
      </c>
      <c r="I66" s="2">
        <v>6</v>
      </c>
      <c r="J66" s="2">
        <v>1000000</v>
      </c>
      <c r="K66" s="2">
        <v>1000000</v>
      </c>
      <c r="L66" s="2">
        <v>1030</v>
      </c>
    </row>
    <row r="67" spans="1:12" x14ac:dyDescent="0.25">
      <c r="A67" s="2" t="s">
        <v>25</v>
      </c>
      <c r="B67" s="2" t="s">
        <v>17</v>
      </c>
      <c r="C67" s="2" t="s">
        <v>18</v>
      </c>
      <c r="D67" s="2">
        <v>5</v>
      </c>
      <c r="E67" s="2">
        <v>5</v>
      </c>
      <c r="F67" s="2">
        <v>250</v>
      </c>
      <c r="G67" s="2">
        <v>1065</v>
      </c>
      <c r="H67" s="2">
        <v>350</v>
      </c>
      <c r="I67" s="2">
        <v>6</v>
      </c>
      <c r="J67" s="2">
        <v>1000000</v>
      </c>
      <c r="K67" s="2">
        <v>1000000</v>
      </c>
      <c r="L67" s="2">
        <v>1044</v>
      </c>
    </row>
    <row r="68" spans="1:12" x14ac:dyDescent="0.25">
      <c r="A68" s="2" t="s">
        <v>25</v>
      </c>
      <c r="B68" s="2" t="s">
        <v>17</v>
      </c>
      <c r="C68" s="2" t="s">
        <v>18</v>
      </c>
      <c r="D68" s="2">
        <v>6</v>
      </c>
      <c r="E68" s="2">
        <v>6</v>
      </c>
      <c r="F68" s="2">
        <v>250</v>
      </c>
      <c r="G68" s="2">
        <v>1065</v>
      </c>
      <c r="H68" s="2">
        <v>350</v>
      </c>
      <c r="I68" s="2">
        <v>6</v>
      </c>
      <c r="J68" s="2">
        <v>1000000</v>
      </c>
      <c r="K68" s="2">
        <v>1000000</v>
      </c>
      <c r="L68" s="2">
        <v>1049</v>
      </c>
    </row>
    <row r="69" spans="1:12" x14ac:dyDescent="0.25">
      <c r="A69" s="2" t="s">
        <v>25</v>
      </c>
      <c r="B69" s="2" t="s">
        <v>17</v>
      </c>
      <c r="C69" s="2" t="s">
        <v>18</v>
      </c>
      <c r="D69" s="2">
        <v>7</v>
      </c>
      <c r="E69" s="2">
        <v>7</v>
      </c>
      <c r="F69" s="2">
        <v>250</v>
      </c>
      <c r="G69" s="2">
        <v>1065</v>
      </c>
      <c r="H69" s="2">
        <v>350</v>
      </c>
      <c r="I69" s="2">
        <v>6</v>
      </c>
      <c r="J69" s="2">
        <v>1000000</v>
      </c>
      <c r="K69" s="2">
        <v>1000000</v>
      </c>
      <c r="L69" s="2">
        <v>1048</v>
      </c>
    </row>
    <row r="70" spans="1:12" x14ac:dyDescent="0.25">
      <c r="A70" s="2" t="s">
        <v>25</v>
      </c>
      <c r="B70" s="2" t="s">
        <v>17</v>
      </c>
      <c r="C70" s="2" t="s">
        <v>18</v>
      </c>
      <c r="D70" s="2">
        <v>8</v>
      </c>
      <c r="E70" s="2">
        <v>8</v>
      </c>
      <c r="F70" s="2">
        <v>250</v>
      </c>
      <c r="G70" s="2">
        <v>1065</v>
      </c>
      <c r="H70" s="2">
        <v>350</v>
      </c>
      <c r="I70" s="2">
        <v>6</v>
      </c>
      <c r="J70" s="2">
        <v>1000000</v>
      </c>
      <c r="K70" s="2">
        <v>1000000</v>
      </c>
      <c r="L70" s="2">
        <v>1040</v>
      </c>
    </row>
    <row r="71" spans="1:12" x14ac:dyDescent="0.25">
      <c r="A71" s="2" t="s">
        <v>25</v>
      </c>
      <c r="B71" s="2" t="s">
        <v>17</v>
      </c>
      <c r="C71" s="2" t="s">
        <v>18</v>
      </c>
      <c r="D71" s="2">
        <v>9</v>
      </c>
      <c r="E71" s="2">
        <v>9</v>
      </c>
      <c r="F71" s="2">
        <v>250</v>
      </c>
      <c r="G71" s="2">
        <v>1065</v>
      </c>
      <c r="H71" s="2">
        <v>350</v>
      </c>
      <c r="I71" s="2">
        <v>6</v>
      </c>
      <c r="J71" s="2">
        <v>1000000</v>
      </c>
      <c r="K71" s="2">
        <v>1000000</v>
      </c>
      <c r="L71" s="2">
        <v>1031</v>
      </c>
    </row>
    <row r="72" spans="1:12" x14ac:dyDescent="0.25">
      <c r="A72" s="2" t="s">
        <v>25</v>
      </c>
      <c r="B72" s="2" t="s">
        <v>17</v>
      </c>
      <c r="C72" s="2" t="s">
        <v>18</v>
      </c>
      <c r="D72" s="2">
        <v>10</v>
      </c>
      <c r="E72" s="2">
        <v>10</v>
      </c>
      <c r="F72" s="2">
        <v>250</v>
      </c>
      <c r="G72" s="2">
        <v>1065</v>
      </c>
      <c r="H72" s="2">
        <v>350</v>
      </c>
      <c r="I72" s="2">
        <v>6</v>
      </c>
      <c r="J72" s="2">
        <v>1000000</v>
      </c>
      <c r="K72" s="2">
        <v>1000000</v>
      </c>
      <c r="L72" s="2">
        <v>1048</v>
      </c>
    </row>
    <row r="73" spans="1:12" x14ac:dyDescent="0.25">
      <c r="A73" s="2" t="s">
        <v>25</v>
      </c>
      <c r="B73" s="2" t="s">
        <v>17</v>
      </c>
      <c r="C73" s="2" t="s">
        <v>18</v>
      </c>
      <c r="D73" s="2">
        <v>11</v>
      </c>
      <c r="E73" s="2">
        <v>11</v>
      </c>
      <c r="F73" s="2">
        <v>250</v>
      </c>
      <c r="G73" s="2">
        <v>1065</v>
      </c>
      <c r="H73" s="2">
        <v>350</v>
      </c>
      <c r="I73" s="2">
        <v>6</v>
      </c>
      <c r="J73" s="2">
        <v>1000000</v>
      </c>
      <c r="K73" s="2">
        <v>1000000</v>
      </c>
      <c r="L73" s="2">
        <v>1044</v>
      </c>
    </row>
    <row r="74" spans="1:12" x14ac:dyDescent="0.25">
      <c r="A74" s="2" t="s">
        <v>25</v>
      </c>
      <c r="B74" s="2" t="s">
        <v>17</v>
      </c>
      <c r="C74" s="2" t="s">
        <v>18</v>
      </c>
      <c r="D74" s="2">
        <v>12</v>
      </c>
      <c r="E74" s="2">
        <v>12</v>
      </c>
      <c r="F74" s="2">
        <v>250</v>
      </c>
      <c r="G74" s="2">
        <v>1065</v>
      </c>
      <c r="H74" s="2">
        <v>350</v>
      </c>
      <c r="I74" s="2">
        <v>6</v>
      </c>
      <c r="J74" s="2">
        <v>1000000</v>
      </c>
      <c r="K74" s="2">
        <v>1000000</v>
      </c>
      <c r="L74" s="2">
        <v>1039</v>
      </c>
    </row>
    <row r="75" spans="1:12" x14ac:dyDescent="0.25">
      <c r="A75" s="2" t="s">
        <v>25</v>
      </c>
      <c r="B75" s="2" t="s">
        <v>17</v>
      </c>
      <c r="C75" s="2" t="s">
        <v>18</v>
      </c>
      <c r="D75" s="2">
        <v>13</v>
      </c>
      <c r="E75" s="2">
        <v>13</v>
      </c>
      <c r="F75" s="2">
        <v>250</v>
      </c>
      <c r="G75" s="2">
        <v>1065</v>
      </c>
      <c r="H75" s="2">
        <v>350</v>
      </c>
      <c r="I75" s="2">
        <v>6</v>
      </c>
      <c r="J75" s="2">
        <v>1000000</v>
      </c>
      <c r="K75" s="2">
        <v>1000000</v>
      </c>
      <c r="L75" s="2">
        <v>1047</v>
      </c>
    </row>
    <row r="76" spans="1:12" x14ac:dyDescent="0.25">
      <c r="A76" s="2" t="s">
        <v>25</v>
      </c>
      <c r="B76" s="2" t="s">
        <v>17</v>
      </c>
      <c r="C76" s="2" t="s">
        <v>18</v>
      </c>
      <c r="D76" s="2">
        <v>14</v>
      </c>
      <c r="E76" s="2">
        <v>14</v>
      </c>
      <c r="F76" s="2">
        <v>250</v>
      </c>
      <c r="G76" s="2">
        <v>1065</v>
      </c>
      <c r="H76" s="2">
        <v>350</v>
      </c>
      <c r="I76" s="2">
        <v>6</v>
      </c>
      <c r="J76" s="2">
        <v>1000000</v>
      </c>
      <c r="K76" s="2">
        <v>1000000</v>
      </c>
      <c r="L76" s="2">
        <v>1039</v>
      </c>
    </row>
    <row r="77" spans="1:12" x14ac:dyDescent="0.25">
      <c r="A77" s="2" t="s">
        <v>25</v>
      </c>
      <c r="B77" s="2" t="s">
        <v>17</v>
      </c>
      <c r="C77" s="2" t="s">
        <v>18</v>
      </c>
      <c r="D77" s="2">
        <v>15</v>
      </c>
      <c r="E77" s="2">
        <v>15</v>
      </c>
      <c r="F77" s="2">
        <v>250</v>
      </c>
      <c r="G77" s="2">
        <v>1065</v>
      </c>
      <c r="H77" s="2">
        <v>350</v>
      </c>
      <c r="I77" s="2">
        <v>6</v>
      </c>
      <c r="J77" s="2">
        <v>1000000</v>
      </c>
      <c r="K77" s="2">
        <v>1000000</v>
      </c>
      <c r="L77" s="2">
        <v>1043</v>
      </c>
    </row>
    <row r="78" spans="1:12" x14ac:dyDescent="0.25">
      <c r="A78" s="2" t="s">
        <v>25</v>
      </c>
      <c r="B78" s="2" t="s">
        <v>17</v>
      </c>
      <c r="C78" s="2" t="s">
        <v>18</v>
      </c>
      <c r="D78" s="2">
        <v>16</v>
      </c>
      <c r="E78" s="2">
        <v>16</v>
      </c>
      <c r="F78" s="2">
        <v>250</v>
      </c>
      <c r="G78" s="2">
        <v>1065</v>
      </c>
      <c r="H78" s="2">
        <v>350</v>
      </c>
      <c r="I78" s="2">
        <v>6</v>
      </c>
      <c r="J78" s="2">
        <v>1000000</v>
      </c>
      <c r="K78" s="2">
        <v>1000000</v>
      </c>
      <c r="L78" s="2">
        <v>1037</v>
      </c>
    </row>
    <row r="79" spans="1:12" x14ac:dyDescent="0.25">
      <c r="A79" s="2" t="s">
        <v>25</v>
      </c>
      <c r="B79" s="2" t="s">
        <v>17</v>
      </c>
      <c r="C79" s="2" t="s">
        <v>18</v>
      </c>
      <c r="D79" s="2">
        <v>17</v>
      </c>
      <c r="E79" s="2">
        <v>17</v>
      </c>
      <c r="F79" s="2">
        <v>250</v>
      </c>
      <c r="G79" s="2">
        <v>1065</v>
      </c>
      <c r="H79" s="2">
        <v>350</v>
      </c>
      <c r="I79" s="2">
        <v>6</v>
      </c>
      <c r="J79" s="2">
        <v>1000000</v>
      </c>
      <c r="K79" s="2">
        <v>1000000</v>
      </c>
      <c r="L79" s="2">
        <v>1038</v>
      </c>
    </row>
    <row r="80" spans="1:12" x14ac:dyDescent="0.25">
      <c r="A80" s="2" t="s">
        <v>25</v>
      </c>
      <c r="B80" s="2" t="s">
        <v>17</v>
      </c>
      <c r="C80" s="2" t="s">
        <v>18</v>
      </c>
      <c r="D80" s="2">
        <v>18</v>
      </c>
      <c r="E80" s="2">
        <v>18</v>
      </c>
      <c r="F80" s="2">
        <v>250</v>
      </c>
      <c r="G80" s="2">
        <v>1065</v>
      </c>
      <c r="H80" s="2">
        <v>350</v>
      </c>
      <c r="I80" s="2">
        <v>6</v>
      </c>
      <c r="J80" s="2">
        <v>1000000</v>
      </c>
      <c r="K80" s="2">
        <v>1000000</v>
      </c>
      <c r="L80" s="2">
        <v>1039</v>
      </c>
    </row>
    <row r="81" spans="1:12" x14ac:dyDescent="0.25">
      <c r="A81" s="2" t="s">
        <v>25</v>
      </c>
      <c r="B81" s="2" t="s">
        <v>17</v>
      </c>
      <c r="C81" s="2" t="s">
        <v>18</v>
      </c>
      <c r="D81" s="2">
        <v>19</v>
      </c>
      <c r="E81" s="2">
        <v>19</v>
      </c>
      <c r="F81" s="2">
        <v>250</v>
      </c>
      <c r="G81" s="2">
        <v>1065</v>
      </c>
      <c r="H81" s="2">
        <v>350</v>
      </c>
      <c r="I81" s="2">
        <v>6</v>
      </c>
      <c r="J81" s="2">
        <v>1000000</v>
      </c>
      <c r="K81" s="2">
        <v>1000000</v>
      </c>
      <c r="L81" s="2">
        <v>1042</v>
      </c>
    </row>
    <row r="82" spans="1:12" x14ac:dyDescent="0.25">
      <c r="A82" s="2" t="s">
        <v>25</v>
      </c>
      <c r="B82" s="2" t="s">
        <v>17</v>
      </c>
      <c r="C82" s="2" t="s">
        <v>18</v>
      </c>
      <c r="D82" s="2">
        <v>20</v>
      </c>
      <c r="E82" s="2">
        <v>20</v>
      </c>
      <c r="F82" s="2">
        <v>250</v>
      </c>
      <c r="G82" s="2">
        <v>1065</v>
      </c>
      <c r="H82" s="2">
        <v>350</v>
      </c>
      <c r="I82" s="2">
        <v>6</v>
      </c>
      <c r="J82" s="2">
        <v>1000000</v>
      </c>
      <c r="K82" s="2">
        <v>1000000</v>
      </c>
      <c r="L82" s="2">
        <v>1039</v>
      </c>
    </row>
    <row r="83" spans="1:12" x14ac:dyDescent="0.25">
      <c r="A83" s="2" t="s">
        <v>25</v>
      </c>
      <c r="B83" s="2" t="s">
        <v>17</v>
      </c>
      <c r="C83" s="2" t="s">
        <v>18</v>
      </c>
      <c r="D83" s="2">
        <v>21</v>
      </c>
      <c r="E83" s="2">
        <v>21</v>
      </c>
      <c r="F83" s="2">
        <v>250</v>
      </c>
      <c r="G83" s="2">
        <v>1065</v>
      </c>
      <c r="H83" s="2">
        <v>350</v>
      </c>
      <c r="I83" s="2">
        <v>6</v>
      </c>
      <c r="J83" s="2">
        <v>1000000</v>
      </c>
      <c r="K83" s="2">
        <v>1000000</v>
      </c>
      <c r="L83" s="2">
        <v>1044</v>
      </c>
    </row>
    <row r="84" spans="1:12" x14ac:dyDescent="0.25">
      <c r="A84" s="2" t="s">
        <v>25</v>
      </c>
      <c r="B84" s="2" t="s">
        <v>17</v>
      </c>
      <c r="C84" s="2" t="s">
        <v>18</v>
      </c>
      <c r="D84" s="2">
        <v>22</v>
      </c>
      <c r="E84" s="2">
        <v>22</v>
      </c>
      <c r="F84" s="2">
        <v>250</v>
      </c>
      <c r="G84" s="2">
        <v>1065</v>
      </c>
      <c r="H84" s="2">
        <v>350</v>
      </c>
      <c r="I84" s="2">
        <v>6</v>
      </c>
      <c r="J84" s="2">
        <v>1000000</v>
      </c>
      <c r="K84" s="2">
        <v>1000000</v>
      </c>
      <c r="L84" s="2">
        <v>1044</v>
      </c>
    </row>
    <row r="85" spans="1:12" x14ac:dyDescent="0.25">
      <c r="A85" s="2" t="s">
        <v>25</v>
      </c>
      <c r="B85" s="2" t="s">
        <v>17</v>
      </c>
      <c r="C85" s="2" t="s">
        <v>18</v>
      </c>
      <c r="D85" s="2">
        <v>23</v>
      </c>
      <c r="E85" s="2">
        <v>23</v>
      </c>
      <c r="F85" s="2">
        <v>250</v>
      </c>
      <c r="G85" s="2">
        <v>1065</v>
      </c>
      <c r="H85" s="2">
        <v>350</v>
      </c>
      <c r="I85" s="2">
        <v>6</v>
      </c>
      <c r="J85" s="2">
        <v>1000000</v>
      </c>
      <c r="K85" s="2">
        <v>1000000</v>
      </c>
      <c r="L85" s="2">
        <v>1043</v>
      </c>
    </row>
    <row r="86" spans="1:12" x14ac:dyDescent="0.25">
      <c r="A86" s="2" t="s">
        <v>25</v>
      </c>
      <c r="B86" s="2" t="s">
        <v>17</v>
      </c>
      <c r="C86" s="2" t="s">
        <v>18</v>
      </c>
      <c r="D86" s="2">
        <v>24</v>
      </c>
      <c r="E86" s="2">
        <v>24</v>
      </c>
      <c r="F86" s="2">
        <v>250</v>
      </c>
      <c r="G86" s="2">
        <v>1065</v>
      </c>
      <c r="H86" s="2">
        <v>350</v>
      </c>
      <c r="I86" s="2">
        <v>6</v>
      </c>
      <c r="J86" s="2">
        <v>1000000</v>
      </c>
      <c r="K86" s="2">
        <v>1000000</v>
      </c>
      <c r="L86" s="2">
        <v>1045</v>
      </c>
    </row>
    <row r="87" spans="1:12" x14ac:dyDescent="0.25">
      <c r="A87" s="2" t="s">
        <v>25</v>
      </c>
      <c r="B87" s="2" t="s">
        <v>17</v>
      </c>
      <c r="C87" s="2" t="s">
        <v>18</v>
      </c>
      <c r="D87" s="2">
        <v>25</v>
      </c>
      <c r="E87" s="2">
        <v>25</v>
      </c>
      <c r="F87" s="2">
        <v>250</v>
      </c>
      <c r="G87" s="2">
        <v>1065</v>
      </c>
      <c r="H87" s="2">
        <v>350</v>
      </c>
      <c r="I87" s="2">
        <v>6</v>
      </c>
      <c r="J87" s="2">
        <v>1000000</v>
      </c>
      <c r="K87" s="2">
        <v>1000000</v>
      </c>
      <c r="L87" s="2">
        <v>1038</v>
      </c>
    </row>
    <row r="88" spans="1:12" x14ac:dyDescent="0.25">
      <c r="A88" s="2" t="s">
        <v>25</v>
      </c>
      <c r="B88" s="2" t="s">
        <v>17</v>
      </c>
      <c r="C88" s="2" t="s">
        <v>18</v>
      </c>
      <c r="D88" s="2">
        <v>26</v>
      </c>
      <c r="E88" s="2">
        <v>26</v>
      </c>
      <c r="F88" s="2">
        <v>250</v>
      </c>
      <c r="G88" s="2">
        <v>1065</v>
      </c>
      <c r="H88" s="2">
        <v>350</v>
      </c>
      <c r="I88" s="2">
        <v>6</v>
      </c>
      <c r="J88" s="2">
        <v>1000000</v>
      </c>
      <c r="K88" s="2">
        <v>1000000</v>
      </c>
      <c r="L88" s="2">
        <v>1045</v>
      </c>
    </row>
    <row r="89" spans="1:12" x14ac:dyDescent="0.25">
      <c r="A89" s="2" t="s">
        <v>25</v>
      </c>
      <c r="B89" s="2" t="s">
        <v>17</v>
      </c>
      <c r="C89" s="2" t="s">
        <v>18</v>
      </c>
      <c r="D89" s="2">
        <v>27</v>
      </c>
      <c r="E89" s="2">
        <v>27</v>
      </c>
      <c r="F89" s="2">
        <v>250</v>
      </c>
      <c r="G89" s="2">
        <v>1065</v>
      </c>
      <c r="H89" s="2">
        <v>350</v>
      </c>
      <c r="I89" s="2">
        <v>6</v>
      </c>
      <c r="J89" s="2">
        <v>1000000</v>
      </c>
      <c r="K89" s="2">
        <v>1000000</v>
      </c>
      <c r="L89" s="2">
        <v>1039</v>
      </c>
    </row>
    <row r="90" spans="1:12" x14ac:dyDescent="0.25">
      <c r="A90" s="2" t="s">
        <v>25</v>
      </c>
      <c r="B90" s="2" t="s">
        <v>17</v>
      </c>
      <c r="C90" s="2" t="s">
        <v>18</v>
      </c>
      <c r="D90" s="2">
        <v>28</v>
      </c>
      <c r="E90" s="2">
        <v>28</v>
      </c>
      <c r="F90" s="2">
        <v>250</v>
      </c>
      <c r="G90" s="2">
        <v>1065</v>
      </c>
      <c r="H90" s="2">
        <v>350</v>
      </c>
      <c r="I90" s="2">
        <v>6</v>
      </c>
      <c r="J90" s="2">
        <v>1000000</v>
      </c>
      <c r="K90" s="2">
        <v>1000000</v>
      </c>
      <c r="L90" s="2">
        <v>1034</v>
      </c>
    </row>
    <row r="91" spans="1:12" x14ac:dyDescent="0.25">
      <c r="A91" s="2" t="s">
        <v>25</v>
      </c>
      <c r="B91" s="2" t="s">
        <v>17</v>
      </c>
      <c r="C91" s="2" t="s">
        <v>18</v>
      </c>
      <c r="D91" s="2">
        <v>29</v>
      </c>
      <c r="E91" s="2">
        <v>29</v>
      </c>
      <c r="F91" s="2">
        <v>250</v>
      </c>
      <c r="G91" s="2">
        <v>1065</v>
      </c>
      <c r="H91" s="2">
        <v>350</v>
      </c>
      <c r="I91" s="2">
        <v>6</v>
      </c>
      <c r="J91" s="2">
        <v>1000000</v>
      </c>
      <c r="K91" s="2">
        <v>1000000</v>
      </c>
      <c r="L91" s="2">
        <v>1035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E6C4F-8BBD-4AB1-A1FF-DE3F240DC8DE}">
  <dimension ref="A1:I91"/>
  <sheetViews>
    <sheetView zoomScaleNormal="100" workbookViewId="0">
      <selection activeCell="I2" sqref="I2"/>
    </sheetView>
  </sheetViews>
  <sheetFormatPr defaultRowHeight="15" x14ac:dyDescent="0.25"/>
  <cols>
    <col min="1" max="1" width="14.28515625" customWidth="1"/>
    <col min="2" max="2" width="19" customWidth="1"/>
    <col min="3" max="3" width="7.140625" customWidth="1"/>
    <col min="4" max="4" width="7.5703125" customWidth="1"/>
    <col min="6" max="6" width="12.140625" customWidth="1"/>
    <col min="7" max="7" width="21.7109375" customWidth="1"/>
    <col min="8" max="8" width="26.42578125" customWidth="1"/>
    <col min="9" max="9" width="18.85546875" customWidth="1"/>
  </cols>
  <sheetData>
    <row r="1" spans="1:9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19</v>
      </c>
      <c r="H1" s="1" t="s">
        <v>12</v>
      </c>
      <c r="I1" s="1" t="s">
        <v>11</v>
      </c>
    </row>
    <row r="2" spans="1:9" x14ac:dyDescent="0.25">
      <c r="A2" s="2" t="s">
        <v>13</v>
      </c>
      <c r="B2" s="2" t="s">
        <v>14</v>
      </c>
      <c r="C2" s="2">
        <v>0</v>
      </c>
      <c r="D2" s="2">
        <v>0</v>
      </c>
      <c r="E2" s="2">
        <v>20</v>
      </c>
      <c r="F2" s="2">
        <v>91</v>
      </c>
      <c r="G2" s="2">
        <v>0</v>
      </c>
      <c r="H2" s="2">
        <v>91</v>
      </c>
      <c r="I2" s="2">
        <v>535</v>
      </c>
    </row>
    <row r="3" spans="1:9" x14ac:dyDescent="0.25">
      <c r="A3" s="2" t="s">
        <v>13</v>
      </c>
      <c r="B3" s="2" t="s">
        <v>14</v>
      </c>
      <c r="C3" s="2">
        <v>1</v>
      </c>
      <c r="D3" s="2">
        <v>1</v>
      </c>
      <c r="E3" s="2">
        <v>20</v>
      </c>
      <c r="F3" s="2">
        <v>91</v>
      </c>
      <c r="G3" s="2">
        <v>0</v>
      </c>
      <c r="H3" s="2">
        <v>91</v>
      </c>
      <c r="I3" s="2">
        <v>1442</v>
      </c>
    </row>
    <row r="4" spans="1:9" x14ac:dyDescent="0.25">
      <c r="A4" s="2" t="s">
        <v>13</v>
      </c>
      <c r="B4" s="2" t="s">
        <v>14</v>
      </c>
      <c r="C4" s="2">
        <v>2</v>
      </c>
      <c r="D4" s="2">
        <v>2</v>
      </c>
      <c r="E4" s="2">
        <v>20</v>
      </c>
      <c r="F4" s="2">
        <v>91</v>
      </c>
      <c r="G4" s="2">
        <v>0</v>
      </c>
      <c r="H4" s="2">
        <v>91</v>
      </c>
      <c r="I4" s="2">
        <v>1908</v>
      </c>
    </row>
    <row r="5" spans="1:9" x14ac:dyDescent="0.25">
      <c r="A5" s="2" t="s">
        <v>13</v>
      </c>
      <c r="B5" s="2" t="s">
        <v>14</v>
      </c>
      <c r="C5" s="2">
        <v>3</v>
      </c>
      <c r="D5" s="2">
        <v>3</v>
      </c>
      <c r="E5" s="2">
        <v>20</v>
      </c>
      <c r="F5" s="2">
        <v>91</v>
      </c>
      <c r="G5" s="2">
        <v>0</v>
      </c>
      <c r="H5" s="2">
        <v>91</v>
      </c>
      <c r="I5" s="2">
        <v>4450</v>
      </c>
    </row>
    <row r="6" spans="1:9" x14ac:dyDescent="0.25">
      <c r="A6" s="2" t="s">
        <v>13</v>
      </c>
      <c r="B6" s="2" t="s">
        <v>14</v>
      </c>
      <c r="C6" s="2">
        <v>4</v>
      </c>
      <c r="D6" s="2">
        <v>4</v>
      </c>
      <c r="E6" s="2">
        <v>20</v>
      </c>
      <c r="F6" s="2">
        <v>91</v>
      </c>
      <c r="G6" s="2">
        <v>0</v>
      </c>
      <c r="H6" s="2">
        <v>91</v>
      </c>
      <c r="I6" s="2">
        <v>316</v>
      </c>
    </row>
    <row r="7" spans="1:9" x14ac:dyDescent="0.25">
      <c r="A7" s="2" t="s">
        <v>13</v>
      </c>
      <c r="B7" s="2" t="s">
        <v>14</v>
      </c>
      <c r="C7" s="2">
        <v>5</v>
      </c>
      <c r="D7" s="2">
        <v>5</v>
      </c>
      <c r="E7" s="2">
        <v>20</v>
      </c>
      <c r="F7" s="2">
        <v>91</v>
      </c>
      <c r="G7" s="2">
        <v>0</v>
      </c>
      <c r="H7" s="2">
        <v>91</v>
      </c>
      <c r="I7" s="2">
        <v>250</v>
      </c>
    </row>
    <row r="8" spans="1:9" x14ac:dyDescent="0.25">
      <c r="A8" s="2" t="s">
        <v>13</v>
      </c>
      <c r="B8" s="2" t="s">
        <v>14</v>
      </c>
      <c r="C8" s="2">
        <v>6</v>
      </c>
      <c r="D8" s="2">
        <v>6</v>
      </c>
      <c r="E8" s="2">
        <v>20</v>
      </c>
      <c r="F8" s="2">
        <v>91</v>
      </c>
      <c r="G8" s="2">
        <v>0</v>
      </c>
      <c r="H8" s="2">
        <v>91</v>
      </c>
      <c r="I8" s="2">
        <v>1715</v>
      </c>
    </row>
    <row r="9" spans="1:9" x14ac:dyDescent="0.25">
      <c r="A9" s="2" t="s">
        <v>13</v>
      </c>
      <c r="B9" s="2" t="s">
        <v>14</v>
      </c>
      <c r="C9" s="2">
        <v>7</v>
      </c>
      <c r="D9" s="2">
        <v>7</v>
      </c>
      <c r="E9" s="2">
        <v>20</v>
      </c>
      <c r="F9" s="2">
        <v>91</v>
      </c>
      <c r="G9" s="2">
        <v>0</v>
      </c>
      <c r="H9" s="2">
        <v>91</v>
      </c>
      <c r="I9" s="2">
        <v>960</v>
      </c>
    </row>
    <row r="10" spans="1:9" x14ac:dyDescent="0.25">
      <c r="A10" s="2" t="s">
        <v>13</v>
      </c>
      <c r="B10" s="2" t="s">
        <v>14</v>
      </c>
      <c r="C10" s="2">
        <v>8</v>
      </c>
      <c r="D10" s="2">
        <v>8</v>
      </c>
      <c r="E10" s="2">
        <v>20</v>
      </c>
      <c r="F10" s="2">
        <v>91</v>
      </c>
      <c r="G10" s="2">
        <v>0</v>
      </c>
      <c r="H10" s="2">
        <v>91</v>
      </c>
      <c r="I10" s="2">
        <v>274</v>
      </c>
    </row>
    <row r="11" spans="1:9" x14ac:dyDescent="0.25">
      <c r="A11" s="2" t="s">
        <v>13</v>
      </c>
      <c r="B11" s="2" t="s">
        <v>14</v>
      </c>
      <c r="C11" s="2">
        <v>9</v>
      </c>
      <c r="D11" s="2">
        <v>9</v>
      </c>
      <c r="E11" s="2">
        <v>20</v>
      </c>
      <c r="F11" s="2">
        <v>91</v>
      </c>
      <c r="G11" s="2">
        <v>0</v>
      </c>
      <c r="H11" s="2">
        <v>91</v>
      </c>
      <c r="I11" s="2">
        <v>3358</v>
      </c>
    </row>
    <row r="12" spans="1:9" x14ac:dyDescent="0.25">
      <c r="A12" s="2" t="s">
        <v>13</v>
      </c>
      <c r="B12" s="2" t="s">
        <v>14</v>
      </c>
      <c r="C12" s="2">
        <v>10</v>
      </c>
      <c r="D12" s="2">
        <v>10</v>
      </c>
      <c r="E12" s="2">
        <v>20</v>
      </c>
      <c r="F12" s="2">
        <v>91</v>
      </c>
      <c r="G12" s="2">
        <v>0</v>
      </c>
      <c r="H12" s="2">
        <v>91</v>
      </c>
      <c r="I12" s="2">
        <v>1725</v>
      </c>
    </row>
    <row r="13" spans="1:9" x14ac:dyDescent="0.25">
      <c r="A13" s="2" t="s">
        <v>13</v>
      </c>
      <c r="B13" s="2" t="s">
        <v>14</v>
      </c>
      <c r="C13" s="2">
        <v>11</v>
      </c>
      <c r="D13" s="2">
        <v>11</v>
      </c>
      <c r="E13" s="2">
        <v>20</v>
      </c>
      <c r="F13" s="2">
        <v>91</v>
      </c>
      <c r="G13" s="2">
        <v>0</v>
      </c>
      <c r="H13" s="2">
        <v>91</v>
      </c>
      <c r="I13" s="2">
        <v>177</v>
      </c>
    </row>
    <row r="14" spans="1:9" x14ac:dyDescent="0.25">
      <c r="A14" s="2" t="s">
        <v>13</v>
      </c>
      <c r="B14" s="2" t="s">
        <v>14</v>
      </c>
      <c r="C14" s="2">
        <v>12</v>
      </c>
      <c r="D14" s="2">
        <v>12</v>
      </c>
      <c r="E14" s="2">
        <v>20</v>
      </c>
      <c r="F14" s="2">
        <v>91</v>
      </c>
      <c r="G14" s="2">
        <v>0</v>
      </c>
      <c r="H14" s="2">
        <v>91</v>
      </c>
      <c r="I14" s="2">
        <v>1678</v>
      </c>
    </row>
    <row r="15" spans="1:9" x14ac:dyDescent="0.25">
      <c r="A15" s="2" t="s">
        <v>13</v>
      </c>
      <c r="B15" s="2" t="s">
        <v>14</v>
      </c>
      <c r="C15" s="2">
        <v>13</v>
      </c>
      <c r="D15" s="2">
        <v>13</v>
      </c>
      <c r="E15" s="2">
        <v>20</v>
      </c>
      <c r="F15" s="2">
        <v>91</v>
      </c>
      <c r="G15" s="2">
        <v>0</v>
      </c>
      <c r="H15" s="2">
        <v>91</v>
      </c>
      <c r="I15" s="2">
        <v>832</v>
      </c>
    </row>
    <row r="16" spans="1:9" x14ac:dyDescent="0.25">
      <c r="A16" s="2" t="s">
        <v>13</v>
      </c>
      <c r="B16" s="2" t="s">
        <v>14</v>
      </c>
      <c r="C16" s="2">
        <v>14</v>
      </c>
      <c r="D16" s="2">
        <v>14</v>
      </c>
      <c r="E16" s="2">
        <v>20</v>
      </c>
      <c r="F16" s="2">
        <v>91</v>
      </c>
      <c r="G16" s="2">
        <v>0</v>
      </c>
      <c r="H16" s="2">
        <v>91</v>
      </c>
      <c r="I16" s="2">
        <v>3361</v>
      </c>
    </row>
    <row r="17" spans="1:9" x14ac:dyDescent="0.25">
      <c r="A17" s="2" t="s">
        <v>13</v>
      </c>
      <c r="B17" s="2" t="s">
        <v>14</v>
      </c>
      <c r="C17" s="2">
        <v>15</v>
      </c>
      <c r="D17" s="2">
        <v>15</v>
      </c>
      <c r="E17" s="2">
        <v>20</v>
      </c>
      <c r="F17" s="2">
        <v>91</v>
      </c>
      <c r="G17" s="2">
        <v>0</v>
      </c>
      <c r="H17" s="2">
        <v>91</v>
      </c>
      <c r="I17" s="2">
        <v>654</v>
      </c>
    </row>
    <row r="18" spans="1:9" x14ac:dyDescent="0.25">
      <c r="A18" s="2" t="s">
        <v>13</v>
      </c>
      <c r="B18" s="2" t="s">
        <v>14</v>
      </c>
      <c r="C18" s="2">
        <v>16</v>
      </c>
      <c r="D18" s="2">
        <v>16</v>
      </c>
      <c r="E18" s="2">
        <v>20</v>
      </c>
      <c r="F18" s="2">
        <v>91</v>
      </c>
      <c r="G18" s="2">
        <v>0</v>
      </c>
      <c r="H18" s="2">
        <v>91</v>
      </c>
      <c r="I18" s="2">
        <v>2135</v>
      </c>
    </row>
    <row r="19" spans="1:9" x14ac:dyDescent="0.25">
      <c r="A19" s="2" t="s">
        <v>13</v>
      </c>
      <c r="B19" s="2" t="s">
        <v>14</v>
      </c>
      <c r="C19" s="2">
        <v>17</v>
      </c>
      <c r="D19" s="2">
        <v>17</v>
      </c>
      <c r="E19" s="2">
        <v>20</v>
      </c>
      <c r="F19" s="2">
        <v>91</v>
      </c>
      <c r="G19" s="2">
        <v>0</v>
      </c>
      <c r="H19" s="2">
        <v>91</v>
      </c>
      <c r="I19" s="2">
        <v>353</v>
      </c>
    </row>
    <row r="20" spans="1:9" x14ac:dyDescent="0.25">
      <c r="A20" s="2" t="s">
        <v>13</v>
      </c>
      <c r="B20" s="2" t="s">
        <v>14</v>
      </c>
      <c r="C20" s="2">
        <v>18</v>
      </c>
      <c r="D20" s="2">
        <v>18</v>
      </c>
      <c r="E20" s="2">
        <v>20</v>
      </c>
      <c r="F20" s="2">
        <v>91</v>
      </c>
      <c r="G20" s="2">
        <v>0</v>
      </c>
      <c r="H20" s="2">
        <v>91</v>
      </c>
      <c r="I20" s="2">
        <v>1328</v>
      </c>
    </row>
    <row r="21" spans="1:9" x14ac:dyDescent="0.25">
      <c r="A21" s="2" t="s">
        <v>13</v>
      </c>
      <c r="B21" s="2" t="s">
        <v>14</v>
      </c>
      <c r="C21" s="2">
        <v>19</v>
      </c>
      <c r="D21" s="2">
        <v>19</v>
      </c>
      <c r="E21" s="2">
        <v>20</v>
      </c>
      <c r="F21" s="2">
        <v>91</v>
      </c>
      <c r="G21" s="2">
        <v>0</v>
      </c>
      <c r="H21" s="2">
        <v>91</v>
      </c>
      <c r="I21" s="2">
        <v>2933</v>
      </c>
    </row>
    <row r="22" spans="1:9" x14ac:dyDescent="0.25">
      <c r="A22" s="2" t="s">
        <v>13</v>
      </c>
      <c r="B22" s="2" t="s">
        <v>14</v>
      </c>
      <c r="C22" s="2">
        <v>20</v>
      </c>
      <c r="D22" s="2">
        <v>20</v>
      </c>
      <c r="E22" s="2">
        <v>20</v>
      </c>
      <c r="F22" s="2">
        <v>91</v>
      </c>
      <c r="G22" s="2">
        <v>0</v>
      </c>
      <c r="H22" s="2">
        <v>91</v>
      </c>
      <c r="I22" s="2">
        <v>973</v>
      </c>
    </row>
    <row r="23" spans="1:9" x14ac:dyDescent="0.25">
      <c r="A23" s="2" t="s">
        <v>13</v>
      </c>
      <c r="B23" s="2" t="s">
        <v>14</v>
      </c>
      <c r="C23" s="2">
        <v>21</v>
      </c>
      <c r="D23" s="2">
        <v>21</v>
      </c>
      <c r="E23" s="2">
        <v>20</v>
      </c>
      <c r="F23" s="2">
        <v>91</v>
      </c>
      <c r="G23" s="2">
        <v>0</v>
      </c>
      <c r="H23" s="2">
        <v>91</v>
      </c>
      <c r="I23" s="2">
        <v>236</v>
      </c>
    </row>
    <row r="24" spans="1:9" x14ac:dyDescent="0.25">
      <c r="A24" s="2" t="s">
        <v>13</v>
      </c>
      <c r="B24" s="2" t="s">
        <v>14</v>
      </c>
      <c r="C24" s="2">
        <v>22</v>
      </c>
      <c r="D24" s="2">
        <v>22</v>
      </c>
      <c r="E24" s="2">
        <v>20</v>
      </c>
      <c r="F24" s="2">
        <v>91</v>
      </c>
      <c r="G24" s="2">
        <v>0</v>
      </c>
      <c r="H24" s="2">
        <v>91</v>
      </c>
      <c r="I24" s="2">
        <v>259</v>
      </c>
    </row>
    <row r="25" spans="1:9" x14ac:dyDescent="0.25">
      <c r="A25" s="2" t="s">
        <v>13</v>
      </c>
      <c r="B25" s="2" t="s">
        <v>14</v>
      </c>
      <c r="C25" s="2">
        <v>23</v>
      </c>
      <c r="D25" s="2">
        <v>23</v>
      </c>
      <c r="E25" s="2">
        <v>20</v>
      </c>
      <c r="F25" s="2">
        <v>91</v>
      </c>
      <c r="G25" s="2">
        <v>0</v>
      </c>
      <c r="H25" s="2">
        <v>91</v>
      </c>
      <c r="I25" s="2">
        <v>481</v>
      </c>
    </row>
    <row r="26" spans="1:9" x14ac:dyDescent="0.25">
      <c r="A26" s="2" t="s">
        <v>13</v>
      </c>
      <c r="B26" s="2" t="s">
        <v>14</v>
      </c>
      <c r="C26" s="2">
        <v>24</v>
      </c>
      <c r="D26" s="2">
        <v>24</v>
      </c>
      <c r="E26" s="2">
        <v>20</v>
      </c>
      <c r="F26" s="2">
        <v>91</v>
      </c>
      <c r="G26" s="2">
        <v>0</v>
      </c>
      <c r="H26" s="2">
        <v>91</v>
      </c>
      <c r="I26" s="2">
        <v>88</v>
      </c>
    </row>
    <row r="27" spans="1:9" x14ac:dyDescent="0.25">
      <c r="A27" s="2" t="s">
        <v>13</v>
      </c>
      <c r="B27" s="2" t="s">
        <v>14</v>
      </c>
      <c r="C27" s="2">
        <v>25</v>
      </c>
      <c r="D27" s="2">
        <v>25</v>
      </c>
      <c r="E27" s="2">
        <v>20</v>
      </c>
      <c r="F27" s="2">
        <v>91</v>
      </c>
      <c r="G27" s="2">
        <v>0</v>
      </c>
      <c r="H27" s="2">
        <v>91</v>
      </c>
      <c r="I27" s="2">
        <v>2855</v>
      </c>
    </row>
    <row r="28" spans="1:9" x14ac:dyDescent="0.25">
      <c r="A28" s="2" t="s">
        <v>13</v>
      </c>
      <c r="B28" s="2" t="s">
        <v>14</v>
      </c>
      <c r="C28" s="2">
        <v>26</v>
      </c>
      <c r="D28" s="2">
        <v>26</v>
      </c>
      <c r="E28" s="2">
        <v>20</v>
      </c>
      <c r="F28" s="2">
        <v>91</v>
      </c>
      <c r="G28" s="2">
        <v>0</v>
      </c>
      <c r="H28" s="2">
        <v>91</v>
      </c>
      <c r="I28" s="2">
        <v>2110</v>
      </c>
    </row>
    <row r="29" spans="1:9" x14ac:dyDescent="0.25">
      <c r="A29" s="2" t="s">
        <v>13</v>
      </c>
      <c r="B29" s="2" t="s">
        <v>14</v>
      </c>
      <c r="C29" s="2">
        <v>27</v>
      </c>
      <c r="D29" s="2">
        <v>27</v>
      </c>
      <c r="E29" s="2">
        <v>20</v>
      </c>
      <c r="F29" s="2">
        <v>91</v>
      </c>
      <c r="G29" s="2">
        <v>0</v>
      </c>
      <c r="H29" s="2">
        <v>91</v>
      </c>
      <c r="I29" s="2">
        <v>2101</v>
      </c>
    </row>
    <row r="30" spans="1:9" x14ac:dyDescent="0.25">
      <c r="A30" s="2" t="s">
        <v>13</v>
      </c>
      <c r="B30" s="2" t="s">
        <v>14</v>
      </c>
      <c r="C30" s="2">
        <v>28</v>
      </c>
      <c r="D30" s="2">
        <v>28</v>
      </c>
      <c r="E30" s="2">
        <v>20</v>
      </c>
      <c r="F30" s="2">
        <v>91</v>
      </c>
      <c r="G30" s="2">
        <v>0</v>
      </c>
      <c r="H30" s="2">
        <v>91</v>
      </c>
      <c r="I30" s="2">
        <v>258</v>
      </c>
    </row>
    <row r="31" spans="1:9" x14ac:dyDescent="0.25">
      <c r="A31" s="2" t="s">
        <v>13</v>
      </c>
      <c r="B31" s="2" t="s">
        <v>14</v>
      </c>
      <c r="C31" s="2">
        <v>29</v>
      </c>
      <c r="D31" s="2">
        <v>29</v>
      </c>
      <c r="E31" s="2">
        <v>20</v>
      </c>
      <c r="F31" s="2">
        <v>91</v>
      </c>
      <c r="G31" s="2">
        <v>0</v>
      </c>
      <c r="H31" s="2">
        <v>91</v>
      </c>
      <c r="I31" s="2">
        <v>1237</v>
      </c>
    </row>
    <row r="32" spans="1:9" x14ac:dyDescent="0.25">
      <c r="A32" s="3" t="s">
        <v>15</v>
      </c>
      <c r="B32" s="3" t="s">
        <v>16</v>
      </c>
      <c r="C32" s="3">
        <v>0</v>
      </c>
      <c r="D32" s="3">
        <v>0</v>
      </c>
      <c r="E32" s="3">
        <v>100</v>
      </c>
      <c r="F32" s="3">
        <v>430</v>
      </c>
      <c r="G32" s="3">
        <v>0</v>
      </c>
      <c r="H32" s="3">
        <v>430</v>
      </c>
      <c r="I32" s="3">
        <v>134571</v>
      </c>
    </row>
    <row r="33" spans="1:9" x14ac:dyDescent="0.25">
      <c r="A33" s="3" t="s">
        <v>15</v>
      </c>
      <c r="B33" s="3" t="s">
        <v>16</v>
      </c>
      <c r="C33" s="3">
        <v>1</v>
      </c>
      <c r="D33" s="3">
        <v>1</v>
      </c>
      <c r="E33" s="3">
        <v>100</v>
      </c>
      <c r="F33" s="3">
        <v>430</v>
      </c>
      <c r="G33" s="3">
        <v>1</v>
      </c>
      <c r="H33" s="3">
        <v>429</v>
      </c>
      <c r="I33" s="3">
        <v>1000000</v>
      </c>
    </row>
    <row r="34" spans="1:9" x14ac:dyDescent="0.25">
      <c r="A34" s="3" t="s">
        <v>15</v>
      </c>
      <c r="B34" s="3" t="s">
        <v>16</v>
      </c>
      <c r="C34" s="3">
        <v>2</v>
      </c>
      <c r="D34" s="3">
        <v>2</v>
      </c>
      <c r="E34" s="3">
        <v>100</v>
      </c>
      <c r="F34" s="3">
        <v>430</v>
      </c>
      <c r="G34" s="3">
        <v>0</v>
      </c>
      <c r="H34" s="3">
        <v>430</v>
      </c>
      <c r="I34" s="3">
        <v>152628</v>
      </c>
    </row>
    <row r="35" spans="1:9" x14ac:dyDescent="0.25">
      <c r="A35" s="3" t="s">
        <v>15</v>
      </c>
      <c r="B35" s="3" t="s">
        <v>16</v>
      </c>
      <c r="C35" s="3">
        <v>3</v>
      </c>
      <c r="D35" s="3">
        <v>3</v>
      </c>
      <c r="E35" s="3">
        <v>100</v>
      </c>
      <c r="F35" s="3">
        <v>430</v>
      </c>
      <c r="G35" s="3">
        <v>0</v>
      </c>
      <c r="H35" s="3">
        <v>430</v>
      </c>
      <c r="I35" s="3">
        <v>174734</v>
      </c>
    </row>
    <row r="36" spans="1:9" x14ac:dyDescent="0.25">
      <c r="A36" s="3" t="s">
        <v>15</v>
      </c>
      <c r="B36" s="3" t="s">
        <v>16</v>
      </c>
      <c r="C36" s="3">
        <v>4</v>
      </c>
      <c r="D36" s="3">
        <v>4</v>
      </c>
      <c r="E36" s="3">
        <v>100</v>
      </c>
      <c r="F36" s="3">
        <v>430</v>
      </c>
      <c r="G36" s="3">
        <v>0</v>
      </c>
      <c r="H36" s="3">
        <v>430</v>
      </c>
      <c r="I36" s="3">
        <v>217936</v>
      </c>
    </row>
    <row r="37" spans="1:9" x14ac:dyDescent="0.25">
      <c r="A37" s="3" t="s">
        <v>15</v>
      </c>
      <c r="B37" s="3" t="s">
        <v>16</v>
      </c>
      <c r="C37" s="3">
        <v>5</v>
      </c>
      <c r="D37" s="3">
        <v>5</v>
      </c>
      <c r="E37" s="3">
        <v>100</v>
      </c>
      <c r="F37" s="3">
        <v>430</v>
      </c>
      <c r="G37" s="3">
        <v>0</v>
      </c>
      <c r="H37" s="3">
        <v>430</v>
      </c>
      <c r="I37" s="3">
        <v>276721</v>
      </c>
    </row>
    <row r="38" spans="1:9" x14ac:dyDescent="0.25">
      <c r="A38" s="3" t="s">
        <v>15</v>
      </c>
      <c r="B38" s="3" t="s">
        <v>16</v>
      </c>
      <c r="C38" s="3">
        <v>6</v>
      </c>
      <c r="D38" s="3">
        <v>6</v>
      </c>
      <c r="E38" s="3">
        <v>100</v>
      </c>
      <c r="F38" s="3">
        <v>430</v>
      </c>
      <c r="G38" s="3">
        <v>0</v>
      </c>
      <c r="H38" s="3">
        <v>430</v>
      </c>
      <c r="I38" s="3">
        <v>144431</v>
      </c>
    </row>
    <row r="39" spans="1:9" x14ac:dyDescent="0.25">
      <c r="A39" s="3" t="s">
        <v>15</v>
      </c>
      <c r="B39" s="3" t="s">
        <v>16</v>
      </c>
      <c r="C39" s="3">
        <v>7</v>
      </c>
      <c r="D39" s="3">
        <v>7</v>
      </c>
      <c r="E39" s="3">
        <v>100</v>
      </c>
      <c r="F39" s="3">
        <v>430</v>
      </c>
      <c r="G39" s="3">
        <v>0</v>
      </c>
      <c r="H39" s="3">
        <v>430</v>
      </c>
      <c r="I39" s="3">
        <v>177366</v>
      </c>
    </row>
    <row r="40" spans="1:9" x14ac:dyDescent="0.25">
      <c r="A40" s="3" t="s">
        <v>15</v>
      </c>
      <c r="B40" s="3" t="s">
        <v>16</v>
      </c>
      <c r="C40" s="3">
        <v>8</v>
      </c>
      <c r="D40" s="3">
        <v>8</v>
      </c>
      <c r="E40" s="3">
        <v>100</v>
      </c>
      <c r="F40" s="3">
        <v>430</v>
      </c>
      <c r="G40" s="3">
        <v>0</v>
      </c>
      <c r="H40" s="3">
        <v>430</v>
      </c>
      <c r="I40" s="3">
        <v>159719</v>
      </c>
    </row>
    <row r="41" spans="1:9" x14ac:dyDescent="0.25">
      <c r="A41" s="3" t="s">
        <v>15</v>
      </c>
      <c r="B41" s="3" t="s">
        <v>16</v>
      </c>
      <c r="C41" s="3">
        <v>9</v>
      </c>
      <c r="D41" s="3">
        <v>9</v>
      </c>
      <c r="E41" s="3">
        <v>100</v>
      </c>
      <c r="F41" s="3">
        <v>430</v>
      </c>
      <c r="G41" s="3">
        <v>1</v>
      </c>
      <c r="H41" s="3">
        <v>429</v>
      </c>
      <c r="I41" s="3">
        <v>1000000</v>
      </c>
    </row>
    <row r="42" spans="1:9" x14ac:dyDescent="0.25">
      <c r="A42" s="3" t="s">
        <v>15</v>
      </c>
      <c r="B42" s="3" t="s">
        <v>16</v>
      </c>
      <c r="C42" s="3">
        <v>10</v>
      </c>
      <c r="D42" s="3">
        <v>10</v>
      </c>
      <c r="E42" s="3">
        <v>100</v>
      </c>
      <c r="F42" s="3">
        <v>430</v>
      </c>
      <c r="G42" s="3">
        <v>0</v>
      </c>
      <c r="H42" s="3">
        <v>430</v>
      </c>
      <c r="I42" s="3">
        <v>168736</v>
      </c>
    </row>
    <row r="43" spans="1:9" x14ac:dyDescent="0.25">
      <c r="A43" s="3" t="s">
        <v>15</v>
      </c>
      <c r="B43" s="3" t="s">
        <v>16</v>
      </c>
      <c r="C43" s="3">
        <v>11</v>
      </c>
      <c r="D43" s="3">
        <v>11</v>
      </c>
      <c r="E43" s="3">
        <v>100</v>
      </c>
      <c r="F43" s="3">
        <v>430</v>
      </c>
      <c r="G43" s="3">
        <v>0</v>
      </c>
      <c r="H43" s="3">
        <v>430</v>
      </c>
      <c r="I43" s="3">
        <v>118141</v>
      </c>
    </row>
    <row r="44" spans="1:9" x14ac:dyDescent="0.25">
      <c r="A44" s="3" t="s">
        <v>15</v>
      </c>
      <c r="B44" s="3" t="s">
        <v>16</v>
      </c>
      <c r="C44" s="3">
        <v>12</v>
      </c>
      <c r="D44" s="3">
        <v>12</v>
      </c>
      <c r="E44" s="3">
        <v>100</v>
      </c>
      <c r="F44" s="3">
        <v>430</v>
      </c>
      <c r="G44" s="3">
        <v>0</v>
      </c>
      <c r="H44" s="3">
        <v>430</v>
      </c>
      <c r="I44" s="3">
        <v>167826</v>
      </c>
    </row>
    <row r="45" spans="1:9" x14ac:dyDescent="0.25">
      <c r="A45" s="3" t="s">
        <v>15</v>
      </c>
      <c r="B45" s="3" t="s">
        <v>16</v>
      </c>
      <c r="C45" s="3">
        <v>13</v>
      </c>
      <c r="D45" s="3">
        <v>13</v>
      </c>
      <c r="E45" s="3">
        <v>100</v>
      </c>
      <c r="F45" s="3">
        <v>430</v>
      </c>
      <c r="G45" s="3">
        <v>0</v>
      </c>
      <c r="H45" s="3">
        <v>430</v>
      </c>
      <c r="I45" s="3">
        <v>188306</v>
      </c>
    </row>
    <row r="46" spans="1:9" x14ac:dyDescent="0.25">
      <c r="A46" s="3" t="s">
        <v>15</v>
      </c>
      <c r="B46" s="3" t="s">
        <v>16</v>
      </c>
      <c r="C46" s="3">
        <v>14</v>
      </c>
      <c r="D46" s="3">
        <v>14</v>
      </c>
      <c r="E46" s="3">
        <v>100</v>
      </c>
      <c r="F46" s="3">
        <v>430</v>
      </c>
      <c r="G46" s="3">
        <v>0</v>
      </c>
      <c r="H46" s="3">
        <v>430</v>
      </c>
      <c r="I46" s="3">
        <v>182066</v>
      </c>
    </row>
    <row r="47" spans="1:9" x14ac:dyDescent="0.25">
      <c r="A47" s="3" t="s">
        <v>15</v>
      </c>
      <c r="B47" s="3" t="s">
        <v>16</v>
      </c>
      <c r="C47" s="3">
        <v>15</v>
      </c>
      <c r="D47" s="3">
        <v>15</v>
      </c>
      <c r="E47" s="3">
        <v>100</v>
      </c>
      <c r="F47" s="3">
        <v>430</v>
      </c>
      <c r="G47" s="3">
        <v>0</v>
      </c>
      <c r="H47" s="3">
        <v>430</v>
      </c>
      <c r="I47" s="3">
        <v>144781</v>
      </c>
    </row>
    <row r="48" spans="1:9" x14ac:dyDescent="0.25">
      <c r="A48" s="3" t="s">
        <v>15</v>
      </c>
      <c r="B48" s="3" t="s">
        <v>16</v>
      </c>
      <c r="C48" s="3">
        <v>16</v>
      </c>
      <c r="D48" s="3">
        <v>16</v>
      </c>
      <c r="E48" s="3">
        <v>100</v>
      </c>
      <c r="F48" s="3">
        <v>430</v>
      </c>
      <c r="G48" s="3">
        <v>1</v>
      </c>
      <c r="H48" s="3">
        <v>429</v>
      </c>
      <c r="I48" s="3">
        <v>1000000</v>
      </c>
    </row>
    <row r="49" spans="1:9" x14ac:dyDescent="0.25">
      <c r="A49" s="3" t="s">
        <v>15</v>
      </c>
      <c r="B49" s="3" t="s">
        <v>16</v>
      </c>
      <c r="C49" s="3">
        <v>17</v>
      </c>
      <c r="D49" s="3">
        <v>17</v>
      </c>
      <c r="E49" s="3">
        <v>100</v>
      </c>
      <c r="F49" s="3">
        <v>430</v>
      </c>
      <c r="G49" s="3">
        <v>1</v>
      </c>
      <c r="H49" s="3">
        <v>429</v>
      </c>
      <c r="I49" s="3">
        <v>1000000</v>
      </c>
    </row>
    <row r="50" spans="1:9" x14ac:dyDescent="0.25">
      <c r="A50" s="3" t="s">
        <v>15</v>
      </c>
      <c r="B50" s="3" t="s">
        <v>16</v>
      </c>
      <c r="C50" s="3">
        <v>18</v>
      </c>
      <c r="D50" s="3">
        <v>18</v>
      </c>
      <c r="E50" s="3">
        <v>100</v>
      </c>
      <c r="F50" s="3">
        <v>430</v>
      </c>
      <c r="G50" s="3">
        <v>1</v>
      </c>
      <c r="H50" s="3">
        <v>429</v>
      </c>
      <c r="I50" s="3">
        <v>1000000</v>
      </c>
    </row>
    <row r="51" spans="1:9" x14ac:dyDescent="0.25">
      <c r="A51" s="3" t="s">
        <v>15</v>
      </c>
      <c r="B51" s="3" t="s">
        <v>16</v>
      </c>
      <c r="C51" s="3">
        <v>19</v>
      </c>
      <c r="D51" s="3">
        <v>19</v>
      </c>
      <c r="E51" s="3">
        <v>100</v>
      </c>
      <c r="F51" s="3">
        <v>430</v>
      </c>
      <c r="G51" s="3">
        <v>1</v>
      </c>
      <c r="H51" s="3">
        <v>429</v>
      </c>
      <c r="I51" s="3">
        <v>1000000</v>
      </c>
    </row>
    <row r="52" spans="1:9" x14ac:dyDescent="0.25">
      <c r="A52" s="3" t="s">
        <v>15</v>
      </c>
      <c r="B52" s="3" t="s">
        <v>16</v>
      </c>
      <c r="C52" s="3">
        <v>20</v>
      </c>
      <c r="D52" s="3">
        <v>20</v>
      </c>
      <c r="E52" s="3">
        <v>100</v>
      </c>
      <c r="F52" s="3">
        <v>430</v>
      </c>
      <c r="G52" s="3">
        <v>0</v>
      </c>
      <c r="H52" s="3">
        <v>430</v>
      </c>
      <c r="I52" s="3">
        <v>219600</v>
      </c>
    </row>
    <row r="53" spans="1:9" x14ac:dyDescent="0.25">
      <c r="A53" s="3" t="s">
        <v>15</v>
      </c>
      <c r="B53" s="3" t="s">
        <v>16</v>
      </c>
      <c r="C53" s="3">
        <v>21</v>
      </c>
      <c r="D53" s="3">
        <v>21</v>
      </c>
      <c r="E53" s="3">
        <v>100</v>
      </c>
      <c r="F53" s="3">
        <v>430</v>
      </c>
      <c r="G53" s="3">
        <v>0</v>
      </c>
      <c r="H53" s="3">
        <v>430</v>
      </c>
      <c r="I53" s="3">
        <v>146028</v>
      </c>
    </row>
    <row r="54" spans="1:9" x14ac:dyDescent="0.25">
      <c r="A54" s="3" t="s">
        <v>15</v>
      </c>
      <c r="B54" s="3" t="s">
        <v>16</v>
      </c>
      <c r="C54" s="3">
        <v>22</v>
      </c>
      <c r="D54" s="3">
        <v>22</v>
      </c>
      <c r="E54" s="3">
        <v>100</v>
      </c>
      <c r="F54" s="3">
        <v>430</v>
      </c>
      <c r="G54" s="3">
        <v>0</v>
      </c>
      <c r="H54" s="3">
        <v>430</v>
      </c>
      <c r="I54" s="3">
        <v>189104</v>
      </c>
    </row>
    <row r="55" spans="1:9" x14ac:dyDescent="0.25">
      <c r="A55" s="3" t="s">
        <v>15</v>
      </c>
      <c r="B55" s="3" t="s">
        <v>16</v>
      </c>
      <c r="C55" s="3">
        <v>23</v>
      </c>
      <c r="D55" s="3">
        <v>23</v>
      </c>
      <c r="E55" s="3">
        <v>100</v>
      </c>
      <c r="F55" s="3">
        <v>430</v>
      </c>
      <c r="G55" s="3">
        <v>0</v>
      </c>
      <c r="H55" s="3">
        <v>430</v>
      </c>
      <c r="I55" s="3">
        <v>214247</v>
      </c>
    </row>
    <row r="56" spans="1:9" x14ac:dyDescent="0.25">
      <c r="A56" s="3" t="s">
        <v>15</v>
      </c>
      <c r="B56" s="3" t="s">
        <v>16</v>
      </c>
      <c r="C56" s="3">
        <v>24</v>
      </c>
      <c r="D56" s="3">
        <v>24</v>
      </c>
      <c r="E56" s="3">
        <v>100</v>
      </c>
      <c r="F56" s="3">
        <v>430</v>
      </c>
      <c r="G56" s="3">
        <v>0</v>
      </c>
      <c r="H56" s="3">
        <v>430</v>
      </c>
      <c r="I56" s="3">
        <v>237867</v>
      </c>
    </row>
    <row r="57" spans="1:9" x14ac:dyDescent="0.25">
      <c r="A57" s="3" t="s">
        <v>15</v>
      </c>
      <c r="B57" s="3" t="s">
        <v>16</v>
      </c>
      <c r="C57" s="3">
        <v>25</v>
      </c>
      <c r="D57" s="3">
        <v>25</v>
      </c>
      <c r="E57" s="3">
        <v>100</v>
      </c>
      <c r="F57" s="3">
        <v>430</v>
      </c>
      <c r="G57" s="3">
        <v>0</v>
      </c>
      <c r="H57" s="3">
        <v>430</v>
      </c>
      <c r="I57" s="3">
        <v>219759</v>
      </c>
    </row>
    <row r="58" spans="1:9" x14ac:dyDescent="0.25">
      <c r="A58" s="3" t="s">
        <v>15</v>
      </c>
      <c r="B58" s="3" t="s">
        <v>16</v>
      </c>
      <c r="C58" s="3">
        <v>26</v>
      </c>
      <c r="D58" s="3">
        <v>26</v>
      </c>
      <c r="E58" s="3">
        <v>100</v>
      </c>
      <c r="F58" s="3">
        <v>430</v>
      </c>
      <c r="G58" s="3">
        <v>0</v>
      </c>
      <c r="H58" s="3">
        <v>430</v>
      </c>
      <c r="I58" s="3">
        <v>126082</v>
      </c>
    </row>
    <row r="59" spans="1:9" x14ac:dyDescent="0.25">
      <c r="A59" s="3" t="s">
        <v>15</v>
      </c>
      <c r="B59" s="3" t="s">
        <v>16</v>
      </c>
      <c r="C59" s="3">
        <v>27</v>
      </c>
      <c r="D59" s="3">
        <v>27</v>
      </c>
      <c r="E59" s="3">
        <v>100</v>
      </c>
      <c r="F59" s="3">
        <v>430</v>
      </c>
      <c r="G59" s="3">
        <v>0</v>
      </c>
      <c r="H59" s="3">
        <v>430</v>
      </c>
      <c r="I59" s="3">
        <v>147392</v>
      </c>
    </row>
    <row r="60" spans="1:9" x14ac:dyDescent="0.25">
      <c r="A60" s="3" t="s">
        <v>15</v>
      </c>
      <c r="B60" s="3" t="s">
        <v>16</v>
      </c>
      <c r="C60" s="3">
        <v>28</v>
      </c>
      <c r="D60" s="3">
        <v>28</v>
      </c>
      <c r="E60" s="3">
        <v>100</v>
      </c>
      <c r="F60" s="3">
        <v>430</v>
      </c>
      <c r="G60" s="3">
        <v>0</v>
      </c>
      <c r="H60" s="3">
        <v>430</v>
      </c>
      <c r="I60" s="3">
        <v>161813</v>
      </c>
    </row>
    <row r="61" spans="1:9" x14ac:dyDescent="0.25">
      <c r="A61" s="3" t="s">
        <v>15</v>
      </c>
      <c r="B61" s="3" t="s">
        <v>16</v>
      </c>
      <c r="C61" s="3">
        <v>29</v>
      </c>
      <c r="D61" s="3">
        <v>29</v>
      </c>
      <c r="E61" s="3">
        <v>100</v>
      </c>
      <c r="F61" s="3">
        <v>430</v>
      </c>
      <c r="G61" s="3">
        <v>0</v>
      </c>
      <c r="H61" s="3">
        <v>430</v>
      </c>
      <c r="I61" s="3">
        <v>152374</v>
      </c>
    </row>
    <row r="62" spans="1:9" x14ac:dyDescent="0.25">
      <c r="A62" s="2" t="s">
        <v>17</v>
      </c>
      <c r="B62" s="2" t="s">
        <v>18</v>
      </c>
      <c r="C62" s="2">
        <v>0</v>
      </c>
      <c r="D62" s="2">
        <v>0</v>
      </c>
      <c r="E62" s="2">
        <v>250</v>
      </c>
      <c r="F62" s="2">
        <v>1065</v>
      </c>
      <c r="G62" s="2">
        <v>0</v>
      </c>
      <c r="H62" s="2">
        <v>1065</v>
      </c>
      <c r="I62" s="2">
        <v>282285</v>
      </c>
    </row>
    <row r="63" spans="1:9" x14ac:dyDescent="0.25">
      <c r="A63" s="2" t="s">
        <v>17</v>
      </c>
      <c r="B63" s="2" t="s">
        <v>18</v>
      </c>
      <c r="C63" s="2">
        <v>1</v>
      </c>
      <c r="D63" s="2">
        <v>1</v>
      </c>
      <c r="E63" s="2">
        <v>250</v>
      </c>
      <c r="F63" s="2">
        <v>1065</v>
      </c>
      <c r="G63" s="2">
        <v>1</v>
      </c>
      <c r="H63" s="2">
        <v>1064</v>
      </c>
      <c r="I63" s="2">
        <v>1000000</v>
      </c>
    </row>
    <row r="64" spans="1:9" x14ac:dyDescent="0.25">
      <c r="A64" s="2" t="s">
        <v>17</v>
      </c>
      <c r="B64" s="2" t="s">
        <v>18</v>
      </c>
      <c r="C64" s="2">
        <v>2</v>
      </c>
      <c r="D64" s="2">
        <v>2</v>
      </c>
      <c r="E64" s="2">
        <v>250</v>
      </c>
      <c r="F64" s="2">
        <v>1065</v>
      </c>
      <c r="G64" s="2">
        <v>1</v>
      </c>
      <c r="H64" s="2">
        <v>1064</v>
      </c>
      <c r="I64" s="2">
        <v>1000000</v>
      </c>
    </row>
    <row r="65" spans="1:9" x14ac:dyDescent="0.25">
      <c r="A65" s="2" t="s">
        <v>17</v>
      </c>
      <c r="B65" s="2" t="s">
        <v>18</v>
      </c>
      <c r="C65" s="2">
        <v>3</v>
      </c>
      <c r="D65" s="2">
        <v>3</v>
      </c>
      <c r="E65" s="2">
        <v>250</v>
      </c>
      <c r="F65" s="2">
        <v>1065</v>
      </c>
      <c r="G65" s="2">
        <v>0</v>
      </c>
      <c r="H65" s="2">
        <v>1065</v>
      </c>
      <c r="I65" s="2">
        <v>933414</v>
      </c>
    </row>
    <row r="66" spans="1:9" x14ac:dyDescent="0.25">
      <c r="A66" s="2" t="s">
        <v>17</v>
      </c>
      <c r="B66" s="2" t="s">
        <v>18</v>
      </c>
      <c r="C66" s="2">
        <v>4</v>
      </c>
      <c r="D66" s="2">
        <v>4</v>
      </c>
      <c r="E66" s="2">
        <v>250</v>
      </c>
      <c r="F66" s="2">
        <v>1065</v>
      </c>
      <c r="G66" s="2">
        <v>0</v>
      </c>
      <c r="H66" s="2">
        <v>1065</v>
      </c>
      <c r="I66" s="2">
        <v>819910</v>
      </c>
    </row>
    <row r="67" spans="1:9" x14ac:dyDescent="0.25">
      <c r="A67" s="2" t="s">
        <v>17</v>
      </c>
      <c r="B67" s="2" t="s">
        <v>18</v>
      </c>
      <c r="C67" s="2">
        <v>5</v>
      </c>
      <c r="D67" s="2">
        <v>5</v>
      </c>
      <c r="E67" s="2">
        <v>250</v>
      </c>
      <c r="F67" s="2">
        <v>1065</v>
      </c>
      <c r="G67" s="2">
        <v>0</v>
      </c>
      <c r="H67" s="2">
        <v>1065</v>
      </c>
      <c r="I67" s="2">
        <v>231976</v>
      </c>
    </row>
    <row r="68" spans="1:9" x14ac:dyDescent="0.25">
      <c r="A68" s="2" t="s">
        <v>17</v>
      </c>
      <c r="B68" s="2" t="s">
        <v>18</v>
      </c>
      <c r="C68" s="2">
        <v>6</v>
      </c>
      <c r="D68" s="2">
        <v>6</v>
      </c>
      <c r="E68" s="2">
        <v>250</v>
      </c>
      <c r="F68" s="2">
        <v>1065</v>
      </c>
      <c r="G68" s="2">
        <v>1</v>
      </c>
      <c r="H68" s="2">
        <v>1064</v>
      </c>
      <c r="I68" s="2">
        <v>1000000</v>
      </c>
    </row>
    <row r="69" spans="1:9" x14ac:dyDescent="0.25">
      <c r="A69" s="2" t="s">
        <v>17</v>
      </c>
      <c r="B69" s="2" t="s">
        <v>18</v>
      </c>
      <c r="C69" s="2">
        <v>7</v>
      </c>
      <c r="D69" s="2">
        <v>7</v>
      </c>
      <c r="E69" s="2">
        <v>250</v>
      </c>
      <c r="F69" s="2">
        <v>1065</v>
      </c>
      <c r="G69" s="2">
        <v>1</v>
      </c>
      <c r="H69" s="2">
        <v>1064</v>
      </c>
      <c r="I69" s="2">
        <v>1000000</v>
      </c>
    </row>
    <row r="70" spans="1:9" x14ac:dyDescent="0.25">
      <c r="A70" s="2" t="s">
        <v>17</v>
      </c>
      <c r="B70" s="2" t="s">
        <v>18</v>
      </c>
      <c r="C70" s="2">
        <v>8</v>
      </c>
      <c r="D70" s="2">
        <v>8</v>
      </c>
      <c r="E70" s="2">
        <v>250</v>
      </c>
      <c r="F70" s="2">
        <v>1065</v>
      </c>
      <c r="G70" s="2">
        <v>0</v>
      </c>
      <c r="H70" s="2">
        <v>1065</v>
      </c>
      <c r="I70" s="2">
        <v>389352</v>
      </c>
    </row>
    <row r="71" spans="1:9" x14ac:dyDescent="0.25">
      <c r="A71" s="2" t="s">
        <v>17</v>
      </c>
      <c r="B71" s="2" t="s">
        <v>18</v>
      </c>
      <c r="C71" s="2">
        <v>9</v>
      </c>
      <c r="D71" s="2">
        <v>9</v>
      </c>
      <c r="E71" s="2">
        <v>250</v>
      </c>
      <c r="F71" s="2">
        <v>1065</v>
      </c>
      <c r="G71" s="2">
        <v>0</v>
      </c>
      <c r="H71" s="2">
        <v>1065</v>
      </c>
      <c r="I71" s="2">
        <v>273874</v>
      </c>
    </row>
    <row r="72" spans="1:9" x14ac:dyDescent="0.25">
      <c r="A72" s="2" t="s">
        <v>17</v>
      </c>
      <c r="B72" s="2" t="s">
        <v>18</v>
      </c>
      <c r="C72" s="2">
        <v>10</v>
      </c>
      <c r="D72" s="2">
        <v>10</v>
      </c>
      <c r="E72" s="2">
        <v>250</v>
      </c>
      <c r="F72" s="2">
        <v>1065</v>
      </c>
      <c r="G72" s="2">
        <v>1</v>
      </c>
      <c r="H72" s="2">
        <v>1064</v>
      </c>
      <c r="I72" s="2">
        <v>1000000</v>
      </c>
    </row>
    <row r="73" spans="1:9" x14ac:dyDescent="0.25">
      <c r="A73" s="2" t="s">
        <v>17</v>
      </c>
      <c r="B73" s="2" t="s">
        <v>18</v>
      </c>
      <c r="C73" s="2">
        <v>11</v>
      </c>
      <c r="D73" s="2">
        <v>11</v>
      </c>
      <c r="E73" s="2">
        <v>250</v>
      </c>
      <c r="F73" s="2">
        <v>1065</v>
      </c>
      <c r="G73" s="2">
        <v>1</v>
      </c>
      <c r="H73" s="2">
        <v>1064</v>
      </c>
      <c r="I73" s="2">
        <v>1000000</v>
      </c>
    </row>
    <row r="74" spans="1:9" x14ac:dyDescent="0.25">
      <c r="A74" s="2" t="s">
        <v>17</v>
      </c>
      <c r="B74" s="2" t="s">
        <v>18</v>
      </c>
      <c r="C74" s="2">
        <v>12</v>
      </c>
      <c r="D74" s="2">
        <v>12</v>
      </c>
      <c r="E74" s="2">
        <v>250</v>
      </c>
      <c r="F74" s="2">
        <v>1065</v>
      </c>
      <c r="G74" s="2">
        <v>1</v>
      </c>
      <c r="H74" s="2">
        <v>1064</v>
      </c>
      <c r="I74" s="2">
        <v>1000000</v>
      </c>
    </row>
    <row r="75" spans="1:9" x14ac:dyDescent="0.25">
      <c r="A75" s="2" t="s">
        <v>17</v>
      </c>
      <c r="B75" s="2" t="s">
        <v>18</v>
      </c>
      <c r="C75" s="2">
        <v>13</v>
      </c>
      <c r="D75" s="2">
        <v>13</v>
      </c>
      <c r="E75" s="2">
        <v>250</v>
      </c>
      <c r="F75" s="2">
        <v>1065</v>
      </c>
      <c r="G75" s="2">
        <v>0</v>
      </c>
      <c r="H75" s="2">
        <v>1065</v>
      </c>
      <c r="I75" s="2">
        <v>376085</v>
      </c>
    </row>
    <row r="76" spans="1:9" x14ac:dyDescent="0.25">
      <c r="A76" s="2" t="s">
        <v>17</v>
      </c>
      <c r="B76" s="2" t="s">
        <v>18</v>
      </c>
      <c r="C76" s="2">
        <v>14</v>
      </c>
      <c r="D76" s="2">
        <v>14</v>
      </c>
      <c r="E76" s="2">
        <v>250</v>
      </c>
      <c r="F76" s="2">
        <v>1065</v>
      </c>
      <c r="G76" s="2">
        <v>1</v>
      </c>
      <c r="H76" s="2">
        <v>1064</v>
      </c>
      <c r="I76" s="2">
        <v>1000000</v>
      </c>
    </row>
    <row r="77" spans="1:9" x14ac:dyDescent="0.25">
      <c r="A77" s="2" t="s">
        <v>17</v>
      </c>
      <c r="B77" s="2" t="s">
        <v>18</v>
      </c>
      <c r="C77" s="2">
        <v>15</v>
      </c>
      <c r="D77" s="2">
        <v>15</v>
      </c>
      <c r="E77" s="2">
        <v>250</v>
      </c>
      <c r="F77" s="2">
        <v>1065</v>
      </c>
      <c r="G77" s="2">
        <v>0</v>
      </c>
      <c r="H77" s="2">
        <v>1065</v>
      </c>
      <c r="I77" s="2">
        <v>694360</v>
      </c>
    </row>
    <row r="78" spans="1:9" x14ac:dyDescent="0.25">
      <c r="A78" s="2" t="s">
        <v>17</v>
      </c>
      <c r="B78" s="2" t="s">
        <v>18</v>
      </c>
      <c r="C78" s="2">
        <v>16</v>
      </c>
      <c r="D78" s="2">
        <v>16</v>
      </c>
      <c r="E78" s="2">
        <v>250</v>
      </c>
      <c r="F78" s="2">
        <v>1065</v>
      </c>
      <c r="G78" s="2">
        <v>0</v>
      </c>
      <c r="H78" s="2">
        <v>1065</v>
      </c>
      <c r="I78" s="2">
        <v>337978</v>
      </c>
    </row>
    <row r="79" spans="1:9" x14ac:dyDescent="0.25">
      <c r="A79" s="2" t="s">
        <v>17</v>
      </c>
      <c r="B79" s="2" t="s">
        <v>18</v>
      </c>
      <c r="C79" s="2">
        <v>17</v>
      </c>
      <c r="D79" s="2">
        <v>17</v>
      </c>
      <c r="E79" s="2">
        <v>250</v>
      </c>
      <c r="F79" s="2">
        <v>1065</v>
      </c>
      <c r="G79" s="2">
        <v>0</v>
      </c>
      <c r="H79" s="2">
        <v>1065</v>
      </c>
      <c r="I79" s="2">
        <v>460975</v>
      </c>
    </row>
    <row r="80" spans="1:9" x14ac:dyDescent="0.25">
      <c r="A80" s="2" t="s">
        <v>17</v>
      </c>
      <c r="B80" s="2" t="s">
        <v>18</v>
      </c>
      <c r="C80" s="2">
        <v>18</v>
      </c>
      <c r="D80" s="2">
        <v>18</v>
      </c>
      <c r="E80" s="2">
        <v>250</v>
      </c>
      <c r="F80" s="2">
        <v>1065</v>
      </c>
      <c r="G80" s="2">
        <v>0</v>
      </c>
      <c r="H80" s="2">
        <v>1065</v>
      </c>
      <c r="I80" s="2">
        <v>258447</v>
      </c>
    </row>
    <row r="81" spans="1:9" x14ac:dyDescent="0.25">
      <c r="A81" s="2" t="s">
        <v>17</v>
      </c>
      <c r="B81" s="2" t="s">
        <v>18</v>
      </c>
      <c r="C81" s="2">
        <v>19</v>
      </c>
      <c r="D81" s="2">
        <v>19</v>
      </c>
      <c r="E81" s="2">
        <v>250</v>
      </c>
      <c r="F81" s="2">
        <v>1065</v>
      </c>
      <c r="G81" s="2">
        <v>0</v>
      </c>
      <c r="H81" s="2">
        <v>1065</v>
      </c>
      <c r="I81" s="2">
        <v>411553</v>
      </c>
    </row>
    <row r="82" spans="1:9" x14ac:dyDescent="0.25">
      <c r="A82" s="2" t="s">
        <v>17</v>
      </c>
      <c r="B82" s="2" t="s">
        <v>18</v>
      </c>
      <c r="C82" s="2">
        <v>20</v>
      </c>
      <c r="D82" s="2">
        <v>20</v>
      </c>
      <c r="E82" s="2">
        <v>250</v>
      </c>
      <c r="F82" s="2">
        <v>1065</v>
      </c>
      <c r="G82" s="2">
        <v>0</v>
      </c>
      <c r="H82" s="2">
        <v>1065</v>
      </c>
      <c r="I82" s="2">
        <v>614455</v>
      </c>
    </row>
    <row r="83" spans="1:9" x14ac:dyDescent="0.25">
      <c r="A83" s="2" t="s">
        <v>17</v>
      </c>
      <c r="B83" s="2" t="s">
        <v>18</v>
      </c>
      <c r="C83" s="2">
        <v>21</v>
      </c>
      <c r="D83" s="2">
        <v>21</v>
      </c>
      <c r="E83" s="2">
        <v>250</v>
      </c>
      <c r="F83" s="2">
        <v>1065</v>
      </c>
      <c r="G83" s="2">
        <v>0</v>
      </c>
      <c r="H83" s="2">
        <v>1065</v>
      </c>
      <c r="I83" s="2">
        <v>191784</v>
      </c>
    </row>
    <row r="84" spans="1:9" x14ac:dyDescent="0.25">
      <c r="A84" s="2" t="s">
        <v>17</v>
      </c>
      <c r="B84" s="2" t="s">
        <v>18</v>
      </c>
      <c r="C84" s="2">
        <v>22</v>
      </c>
      <c r="D84" s="2">
        <v>22</v>
      </c>
      <c r="E84" s="2">
        <v>250</v>
      </c>
      <c r="F84" s="2">
        <v>1065</v>
      </c>
      <c r="G84" s="2">
        <v>0</v>
      </c>
      <c r="H84" s="2">
        <v>1065</v>
      </c>
      <c r="I84" s="2">
        <v>928775</v>
      </c>
    </row>
    <row r="85" spans="1:9" x14ac:dyDescent="0.25">
      <c r="A85" s="2" t="s">
        <v>17</v>
      </c>
      <c r="B85" s="2" t="s">
        <v>18</v>
      </c>
      <c r="C85" s="2">
        <v>23</v>
      </c>
      <c r="D85" s="2">
        <v>23</v>
      </c>
      <c r="E85" s="2">
        <v>250</v>
      </c>
      <c r="F85" s="2">
        <v>1065</v>
      </c>
      <c r="G85" s="2">
        <v>0</v>
      </c>
      <c r="H85" s="2">
        <v>1065</v>
      </c>
      <c r="I85" s="2">
        <v>586053</v>
      </c>
    </row>
    <row r="86" spans="1:9" x14ac:dyDescent="0.25">
      <c r="A86" s="2" t="s">
        <v>17</v>
      </c>
      <c r="B86" s="2" t="s">
        <v>18</v>
      </c>
      <c r="C86" s="2">
        <v>24</v>
      </c>
      <c r="D86" s="2">
        <v>24</v>
      </c>
      <c r="E86" s="2">
        <v>250</v>
      </c>
      <c r="F86" s="2">
        <v>1065</v>
      </c>
      <c r="G86" s="2">
        <v>1</v>
      </c>
      <c r="H86" s="2">
        <v>1064</v>
      </c>
      <c r="I86" s="2">
        <v>1000000</v>
      </c>
    </row>
    <row r="87" spans="1:9" x14ac:dyDescent="0.25">
      <c r="A87" s="2" t="s">
        <v>17</v>
      </c>
      <c r="B87" s="2" t="s">
        <v>18</v>
      </c>
      <c r="C87" s="2">
        <v>25</v>
      </c>
      <c r="D87" s="2">
        <v>25</v>
      </c>
      <c r="E87" s="2">
        <v>250</v>
      </c>
      <c r="F87" s="2">
        <v>1065</v>
      </c>
      <c r="G87" s="2">
        <v>0</v>
      </c>
      <c r="H87" s="2">
        <v>1065</v>
      </c>
      <c r="I87" s="2">
        <v>290391</v>
      </c>
    </row>
    <row r="88" spans="1:9" x14ac:dyDescent="0.25">
      <c r="A88" s="2" t="s">
        <v>17</v>
      </c>
      <c r="B88" s="2" t="s">
        <v>18</v>
      </c>
      <c r="C88" s="2">
        <v>26</v>
      </c>
      <c r="D88" s="2">
        <v>26</v>
      </c>
      <c r="E88" s="2">
        <v>250</v>
      </c>
      <c r="F88" s="2">
        <v>1065</v>
      </c>
      <c r="G88" s="2">
        <v>1</v>
      </c>
      <c r="H88" s="2">
        <v>1064</v>
      </c>
      <c r="I88" s="2">
        <v>1000000</v>
      </c>
    </row>
    <row r="89" spans="1:9" x14ac:dyDescent="0.25">
      <c r="A89" s="2" t="s">
        <v>17</v>
      </c>
      <c r="B89" s="2" t="s">
        <v>18</v>
      </c>
      <c r="C89" s="2">
        <v>27</v>
      </c>
      <c r="D89" s="2">
        <v>27</v>
      </c>
      <c r="E89" s="2">
        <v>250</v>
      </c>
      <c r="F89" s="2">
        <v>1065</v>
      </c>
      <c r="G89" s="2">
        <v>0</v>
      </c>
      <c r="H89" s="2">
        <v>1065</v>
      </c>
      <c r="I89" s="2">
        <v>642757</v>
      </c>
    </row>
    <row r="90" spans="1:9" x14ac:dyDescent="0.25">
      <c r="A90" s="2" t="s">
        <v>17</v>
      </c>
      <c r="B90" s="2" t="s">
        <v>18</v>
      </c>
      <c r="C90" s="2">
        <v>28</v>
      </c>
      <c r="D90" s="2">
        <v>28</v>
      </c>
      <c r="E90" s="2">
        <v>250</v>
      </c>
      <c r="F90" s="2">
        <v>1065</v>
      </c>
      <c r="G90" s="2">
        <v>1</v>
      </c>
      <c r="H90" s="2">
        <v>1064</v>
      </c>
      <c r="I90" s="2">
        <v>1000000</v>
      </c>
    </row>
    <row r="91" spans="1:9" x14ac:dyDescent="0.25">
      <c r="A91" s="2" t="s">
        <v>17</v>
      </c>
      <c r="B91" s="2" t="s">
        <v>18</v>
      </c>
      <c r="C91" s="2">
        <v>29</v>
      </c>
      <c r="D91" s="2">
        <v>29</v>
      </c>
      <c r="E91" s="2">
        <v>250</v>
      </c>
      <c r="F91" s="2">
        <v>1065</v>
      </c>
      <c r="G91" s="2">
        <v>0</v>
      </c>
      <c r="H91" s="2">
        <v>1065</v>
      </c>
      <c r="I91" s="2">
        <v>249508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64EBA-10B9-4FE3-9757-72899AC479B2}">
  <dimension ref="A1:K91"/>
  <sheetViews>
    <sheetView zoomScale="109" zoomScaleNormal="70" workbookViewId="0">
      <selection activeCell="I2" sqref="I2"/>
    </sheetView>
  </sheetViews>
  <sheetFormatPr defaultRowHeight="15" x14ac:dyDescent="0.25"/>
  <cols>
    <col min="2" max="2" width="14.42578125" customWidth="1"/>
    <col min="3" max="3" width="9.7109375" customWidth="1"/>
    <col min="6" max="6" width="10.7109375" customWidth="1"/>
    <col min="7" max="7" width="13.5703125" customWidth="1"/>
    <col min="8" max="8" width="16.28515625" customWidth="1"/>
    <col min="9" max="9" width="15.7109375" customWidth="1"/>
    <col min="10" max="10" width="19.28515625" customWidth="1"/>
  </cols>
  <sheetData>
    <row r="1" spans="1:1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10</v>
      </c>
      <c r="I1" s="1" t="s">
        <v>11</v>
      </c>
      <c r="J1" s="1" t="s">
        <v>12</v>
      </c>
      <c r="K1" s="1" t="s">
        <v>20</v>
      </c>
    </row>
    <row r="2" spans="1:11" x14ac:dyDescent="0.25">
      <c r="A2" s="2" t="s">
        <v>21</v>
      </c>
      <c r="B2" s="2" t="s">
        <v>13</v>
      </c>
      <c r="C2" s="2" t="s">
        <v>14</v>
      </c>
      <c r="D2" s="2">
        <v>0</v>
      </c>
      <c r="E2" s="2">
        <v>0</v>
      </c>
      <c r="F2" s="2">
        <v>20</v>
      </c>
      <c r="G2" s="2">
        <v>91</v>
      </c>
      <c r="H2" s="2">
        <v>1000000</v>
      </c>
      <c r="I2" s="2">
        <v>61</v>
      </c>
      <c r="J2" s="2">
        <v>88</v>
      </c>
      <c r="K2" s="2"/>
    </row>
    <row r="3" spans="1:11" x14ac:dyDescent="0.25">
      <c r="A3" s="2" t="s">
        <v>21</v>
      </c>
      <c r="B3" s="2" t="s">
        <v>13</v>
      </c>
      <c r="C3" s="2" t="s">
        <v>14</v>
      </c>
      <c r="D3" s="2">
        <v>1</v>
      </c>
      <c r="E3" s="2">
        <v>1</v>
      </c>
      <c r="F3" s="2">
        <v>20</v>
      </c>
      <c r="G3" s="2">
        <v>91</v>
      </c>
      <c r="H3" s="2">
        <v>1000000</v>
      </c>
      <c r="I3" s="2">
        <v>58</v>
      </c>
      <c r="J3" s="2">
        <v>89</v>
      </c>
      <c r="K3" s="2"/>
    </row>
    <row r="4" spans="1:11" x14ac:dyDescent="0.25">
      <c r="A4" s="2" t="s">
        <v>21</v>
      </c>
      <c r="B4" s="2" t="s">
        <v>13</v>
      </c>
      <c r="C4" s="2" t="s">
        <v>14</v>
      </c>
      <c r="D4" s="2">
        <v>2</v>
      </c>
      <c r="E4" s="2">
        <v>2</v>
      </c>
      <c r="F4" s="2">
        <v>20</v>
      </c>
      <c r="G4" s="2">
        <v>91</v>
      </c>
      <c r="H4" s="2">
        <v>1000000</v>
      </c>
      <c r="I4" s="2">
        <v>63</v>
      </c>
      <c r="J4" s="2">
        <v>89</v>
      </c>
      <c r="K4" s="2"/>
    </row>
    <row r="5" spans="1:11" x14ac:dyDescent="0.25">
      <c r="A5" s="2" t="s">
        <v>21</v>
      </c>
      <c r="B5" s="2" t="s">
        <v>13</v>
      </c>
      <c r="C5" s="2" t="s">
        <v>14</v>
      </c>
      <c r="D5" s="2">
        <v>3</v>
      </c>
      <c r="E5" s="2">
        <v>3</v>
      </c>
      <c r="F5" s="2">
        <v>20</v>
      </c>
      <c r="G5" s="2">
        <v>91</v>
      </c>
      <c r="H5" s="2">
        <v>1000000</v>
      </c>
      <c r="I5" s="2">
        <v>70</v>
      </c>
      <c r="J5" s="2">
        <v>89</v>
      </c>
      <c r="K5" s="2"/>
    </row>
    <row r="6" spans="1:11" x14ac:dyDescent="0.25">
      <c r="A6" s="2" t="s">
        <v>21</v>
      </c>
      <c r="B6" s="2" t="s">
        <v>13</v>
      </c>
      <c r="C6" s="2" t="s">
        <v>14</v>
      </c>
      <c r="D6" s="2">
        <v>4</v>
      </c>
      <c r="E6" s="2">
        <v>4</v>
      </c>
      <c r="F6" s="2">
        <v>20</v>
      </c>
      <c r="G6" s="2">
        <v>91</v>
      </c>
      <c r="H6" s="2">
        <v>1000000</v>
      </c>
      <c r="I6" s="2">
        <v>50</v>
      </c>
      <c r="J6" s="2">
        <v>90</v>
      </c>
      <c r="K6" s="2"/>
    </row>
    <row r="7" spans="1:11" x14ac:dyDescent="0.25">
      <c r="A7" s="2" t="s">
        <v>21</v>
      </c>
      <c r="B7" s="2" t="s">
        <v>13</v>
      </c>
      <c r="C7" s="2" t="s">
        <v>14</v>
      </c>
      <c r="D7" s="2">
        <v>5</v>
      </c>
      <c r="E7" s="2">
        <v>5</v>
      </c>
      <c r="F7" s="2">
        <v>20</v>
      </c>
      <c r="G7" s="2">
        <v>91</v>
      </c>
      <c r="H7" s="2">
        <v>1000000</v>
      </c>
      <c r="I7" s="2">
        <v>59</v>
      </c>
      <c r="J7" s="2">
        <v>90</v>
      </c>
      <c r="K7" s="2"/>
    </row>
    <row r="8" spans="1:11" x14ac:dyDescent="0.25">
      <c r="A8" s="2" t="s">
        <v>21</v>
      </c>
      <c r="B8" s="2" t="s">
        <v>13</v>
      </c>
      <c r="C8" s="2" t="s">
        <v>14</v>
      </c>
      <c r="D8" s="2">
        <v>6</v>
      </c>
      <c r="E8" s="2">
        <v>6</v>
      </c>
      <c r="F8" s="2">
        <v>20</v>
      </c>
      <c r="G8" s="2">
        <v>91</v>
      </c>
      <c r="H8" s="2">
        <v>1000000</v>
      </c>
      <c r="I8" s="2">
        <v>46</v>
      </c>
      <c r="J8" s="2">
        <v>89</v>
      </c>
      <c r="K8" s="2"/>
    </row>
    <row r="9" spans="1:11" x14ac:dyDescent="0.25">
      <c r="A9" s="2" t="s">
        <v>21</v>
      </c>
      <c r="B9" s="2" t="s">
        <v>13</v>
      </c>
      <c r="C9" s="2" t="s">
        <v>14</v>
      </c>
      <c r="D9" s="2">
        <v>7</v>
      </c>
      <c r="E9" s="2">
        <v>7</v>
      </c>
      <c r="F9" s="2">
        <v>20</v>
      </c>
      <c r="G9" s="2">
        <v>91</v>
      </c>
      <c r="H9" s="2">
        <v>1000000</v>
      </c>
      <c r="I9" s="2">
        <v>49</v>
      </c>
      <c r="J9" s="2">
        <v>88</v>
      </c>
      <c r="K9" s="2"/>
    </row>
    <row r="10" spans="1:11" x14ac:dyDescent="0.25">
      <c r="A10" s="2" t="s">
        <v>21</v>
      </c>
      <c r="B10" s="2" t="s">
        <v>13</v>
      </c>
      <c r="C10" s="2" t="s">
        <v>14</v>
      </c>
      <c r="D10" s="2">
        <v>8</v>
      </c>
      <c r="E10" s="2">
        <v>8</v>
      </c>
      <c r="F10" s="2">
        <v>20</v>
      </c>
      <c r="G10" s="2">
        <v>91</v>
      </c>
      <c r="H10" s="2">
        <v>1000000</v>
      </c>
      <c r="I10" s="2">
        <v>56</v>
      </c>
      <c r="J10" s="2">
        <v>90</v>
      </c>
      <c r="K10" s="2"/>
    </row>
    <row r="11" spans="1:11" x14ac:dyDescent="0.25">
      <c r="A11" s="2" t="s">
        <v>21</v>
      </c>
      <c r="B11" s="2" t="s">
        <v>13</v>
      </c>
      <c r="C11" s="2" t="s">
        <v>14</v>
      </c>
      <c r="D11" s="2">
        <v>9</v>
      </c>
      <c r="E11" s="2">
        <v>9</v>
      </c>
      <c r="F11" s="2">
        <v>20</v>
      </c>
      <c r="G11" s="2">
        <v>91</v>
      </c>
      <c r="H11" s="2">
        <v>1000000</v>
      </c>
      <c r="I11" s="2">
        <v>53</v>
      </c>
      <c r="J11" s="2">
        <v>89</v>
      </c>
      <c r="K11" s="2"/>
    </row>
    <row r="12" spans="1:11" x14ac:dyDescent="0.25">
      <c r="A12" s="2" t="s">
        <v>21</v>
      </c>
      <c r="B12" s="2" t="s">
        <v>13</v>
      </c>
      <c r="C12" s="2" t="s">
        <v>14</v>
      </c>
      <c r="D12" s="2">
        <v>10</v>
      </c>
      <c r="E12" s="2">
        <v>10</v>
      </c>
      <c r="F12" s="2">
        <v>20</v>
      </c>
      <c r="G12" s="2">
        <v>91</v>
      </c>
      <c r="H12" s="2">
        <v>1000000</v>
      </c>
      <c r="I12" s="2">
        <v>50</v>
      </c>
      <c r="J12" s="2">
        <v>88</v>
      </c>
      <c r="K12" s="2"/>
    </row>
    <row r="13" spans="1:11" x14ac:dyDescent="0.25">
      <c r="A13" s="2" t="s">
        <v>21</v>
      </c>
      <c r="B13" s="2" t="s">
        <v>13</v>
      </c>
      <c r="C13" s="2" t="s">
        <v>14</v>
      </c>
      <c r="D13" s="2">
        <v>11</v>
      </c>
      <c r="E13" s="2">
        <v>11</v>
      </c>
      <c r="F13" s="2">
        <v>20</v>
      </c>
      <c r="G13" s="2">
        <v>91</v>
      </c>
      <c r="H13" s="2">
        <v>1000000</v>
      </c>
      <c r="I13" s="2">
        <v>61</v>
      </c>
      <c r="J13" s="2">
        <v>90</v>
      </c>
      <c r="K13" s="2"/>
    </row>
    <row r="14" spans="1:11" x14ac:dyDescent="0.25">
      <c r="A14" s="2" t="s">
        <v>21</v>
      </c>
      <c r="B14" s="2" t="s">
        <v>13</v>
      </c>
      <c r="C14" s="2" t="s">
        <v>14</v>
      </c>
      <c r="D14" s="2">
        <v>12</v>
      </c>
      <c r="E14" s="2">
        <v>12</v>
      </c>
      <c r="F14" s="2">
        <v>20</v>
      </c>
      <c r="G14" s="2">
        <v>91</v>
      </c>
      <c r="H14" s="2">
        <v>1000000</v>
      </c>
      <c r="I14" s="2">
        <v>38</v>
      </c>
      <c r="J14" s="2">
        <v>89</v>
      </c>
      <c r="K14" s="2"/>
    </row>
    <row r="15" spans="1:11" x14ac:dyDescent="0.25">
      <c r="A15" s="2" t="s">
        <v>21</v>
      </c>
      <c r="B15" s="2" t="s">
        <v>13</v>
      </c>
      <c r="C15" s="2" t="s">
        <v>14</v>
      </c>
      <c r="D15" s="2">
        <v>13</v>
      </c>
      <c r="E15" s="2">
        <v>13</v>
      </c>
      <c r="F15" s="2">
        <v>20</v>
      </c>
      <c r="G15" s="2">
        <v>91</v>
      </c>
      <c r="H15" s="2">
        <v>1000000</v>
      </c>
      <c r="I15" s="2">
        <v>40</v>
      </c>
      <c r="J15" s="2">
        <v>89</v>
      </c>
      <c r="K15" s="2"/>
    </row>
    <row r="16" spans="1:11" x14ac:dyDescent="0.25">
      <c r="A16" s="2" t="s">
        <v>21</v>
      </c>
      <c r="B16" s="2" t="s">
        <v>13</v>
      </c>
      <c r="C16" s="2" t="s">
        <v>14</v>
      </c>
      <c r="D16" s="2">
        <v>14</v>
      </c>
      <c r="E16" s="2">
        <v>14</v>
      </c>
      <c r="F16" s="2">
        <v>20</v>
      </c>
      <c r="G16" s="2">
        <v>91</v>
      </c>
      <c r="H16" s="2">
        <v>1000000</v>
      </c>
      <c r="I16" s="2">
        <v>71</v>
      </c>
      <c r="J16" s="2">
        <v>88</v>
      </c>
      <c r="K16" s="2"/>
    </row>
    <row r="17" spans="1:11" x14ac:dyDescent="0.25">
      <c r="A17" s="2" t="s">
        <v>21</v>
      </c>
      <c r="B17" s="2" t="s">
        <v>13</v>
      </c>
      <c r="C17" s="2" t="s">
        <v>14</v>
      </c>
      <c r="D17" s="2">
        <v>15</v>
      </c>
      <c r="E17" s="2">
        <v>15</v>
      </c>
      <c r="F17" s="2">
        <v>20</v>
      </c>
      <c r="G17" s="2">
        <v>91</v>
      </c>
      <c r="H17" s="2">
        <v>1000000</v>
      </c>
      <c r="I17" s="2">
        <v>27</v>
      </c>
      <c r="J17" s="2">
        <v>91</v>
      </c>
      <c r="K17" s="2"/>
    </row>
    <row r="18" spans="1:11" x14ac:dyDescent="0.25">
      <c r="A18" s="2" t="s">
        <v>21</v>
      </c>
      <c r="B18" s="2" t="s">
        <v>13</v>
      </c>
      <c r="C18" s="2" t="s">
        <v>14</v>
      </c>
      <c r="D18" s="2">
        <v>16</v>
      </c>
      <c r="E18" s="2">
        <v>16</v>
      </c>
      <c r="F18" s="2">
        <v>20</v>
      </c>
      <c r="G18" s="2">
        <v>91</v>
      </c>
      <c r="H18" s="2">
        <v>1000000</v>
      </c>
      <c r="I18" s="2">
        <v>61</v>
      </c>
      <c r="J18" s="2">
        <v>88</v>
      </c>
      <c r="K18" s="2"/>
    </row>
    <row r="19" spans="1:11" x14ac:dyDescent="0.25">
      <c r="A19" s="2" t="s">
        <v>21</v>
      </c>
      <c r="B19" s="2" t="s">
        <v>13</v>
      </c>
      <c r="C19" s="2" t="s">
        <v>14</v>
      </c>
      <c r="D19" s="2">
        <v>17</v>
      </c>
      <c r="E19" s="2">
        <v>17</v>
      </c>
      <c r="F19" s="2">
        <v>20</v>
      </c>
      <c r="G19" s="2">
        <v>91</v>
      </c>
      <c r="H19" s="2">
        <v>1000000</v>
      </c>
      <c r="I19" s="2">
        <v>47</v>
      </c>
      <c r="J19" s="2">
        <v>90</v>
      </c>
      <c r="K19" s="2"/>
    </row>
    <row r="20" spans="1:11" x14ac:dyDescent="0.25">
      <c r="A20" s="2" t="s">
        <v>21</v>
      </c>
      <c r="B20" s="2" t="s">
        <v>13</v>
      </c>
      <c r="C20" s="2" t="s">
        <v>14</v>
      </c>
      <c r="D20" s="2">
        <v>18</v>
      </c>
      <c r="E20" s="2">
        <v>18</v>
      </c>
      <c r="F20" s="2">
        <v>20</v>
      </c>
      <c r="G20" s="2">
        <v>91</v>
      </c>
      <c r="H20" s="2">
        <v>1000000</v>
      </c>
      <c r="I20" s="2">
        <v>27</v>
      </c>
      <c r="J20" s="2">
        <v>89</v>
      </c>
      <c r="K20" s="2"/>
    </row>
    <row r="21" spans="1:11" x14ac:dyDescent="0.25">
      <c r="A21" s="2" t="s">
        <v>21</v>
      </c>
      <c r="B21" s="2" t="s">
        <v>13</v>
      </c>
      <c r="C21" s="2" t="s">
        <v>14</v>
      </c>
      <c r="D21" s="2">
        <v>19</v>
      </c>
      <c r="E21" s="2">
        <v>19</v>
      </c>
      <c r="F21" s="2">
        <v>20</v>
      </c>
      <c r="G21" s="2">
        <v>91</v>
      </c>
      <c r="H21" s="2">
        <v>1000000</v>
      </c>
      <c r="I21" s="2">
        <v>68</v>
      </c>
      <c r="J21" s="2">
        <v>88</v>
      </c>
      <c r="K21" s="2"/>
    </row>
    <row r="22" spans="1:11" x14ac:dyDescent="0.25">
      <c r="A22" s="2" t="s">
        <v>21</v>
      </c>
      <c r="B22" s="2" t="s">
        <v>13</v>
      </c>
      <c r="C22" s="2" t="s">
        <v>14</v>
      </c>
      <c r="D22" s="2">
        <v>20</v>
      </c>
      <c r="E22" s="2">
        <v>20</v>
      </c>
      <c r="F22" s="2">
        <v>20</v>
      </c>
      <c r="G22" s="2">
        <v>91</v>
      </c>
      <c r="H22" s="2">
        <v>1000000</v>
      </c>
      <c r="I22" s="2">
        <v>63</v>
      </c>
      <c r="J22" s="2">
        <v>89</v>
      </c>
      <c r="K22" s="2"/>
    </row>
    <row r="23" spans="1:11" x14ac:dyDescent="0.25">
      <c r="A23" s="2" t="s">
        <v>21</v>
      </c>
      <c r="B23" s="2" t="s">
        <v>13</v>
      </c>
      <c r="C23" s="2" t="s">
        <v>14</v>
      </c>
      <c r="D23" s="2">
        <v>21</v>
      </c>
      <c r="E23" s="2">
        <v>21</v>
      </c>
      <c r="F23" s="2">
        <v>20</v>
      </c>
      <c r="G23" s="2">
        <v>91</v>
      </c>
      <c r="H23" s="2">
        <v>1000000</v>
      </c>
      <c r="I23" s="2">
        <v>67</v>
      </c>
      <c r="J23" s="2">
        <v>88</v>
      </c>
      <c r="K23" s="2"/>
    </row>
    <row r="24" spans="1:11" x14ac:dyDescent="0.25">
      <c r="A24" s="2" t="s">
        <v>21</v>
      </c>
      <c r="B24" s="2" t="s">
        <v>13</v>
      </c>
      <c r="C24" s="2" t="s">
        <v>14</v>
      </c>
      <c r="D24" s="2">
        <v>22</v>
      </c>
      <c r="E24" s="2">
        <v>22</v>
      </c>
      <c r="F24" s="2">
        <v>20</v>
      </c>
      <c r="G24" s="2">
        <v>91</v>
      </c>
      <c r="H24" s="2">
        <v>1000000</v>
      </c>
      <c r="I24" s="2">
        <v>40</v>
      </c>
      <c r="J24" s="2">
        <v>89</v>
      </c>
      <c r="K24" s="2"/>
    </row>
    <row r="25" spans="1:11" x14ac:dyDescent="0.25">
      <c r="A25" s="2" t="s">
        <v>21</v>
      </c>
      <c r="B25" s="2" t="s">
        <v>13</v>
      </c>
      <c r="C25" s="2" t="s">
        <v>14</v>
      </c>
      <c r="D25" s="2">
        <v>23</v>
      </c>
      <c r="E25" s="2">
        <v>23</v>
      </c>
      <c r="F25" s="2">
        <v>20</v>
      </c>
      <c r="G25" s="2">
        <v>91</v>
      </c>
      <c r="H25" s="2">
        <v>1000000</v>
      </c>
      <c r="I25" s="2">
        <v>56</v>
      </c>
      <c r="J25" s="2">
        <v>89</v>
      </c>
      <c r="K25" s="2"/>
    </row>
    <row r="26" spans="1:11" x14ac:dyDescent="0.25">
      <c r="A26" s="2" t="s">
        <v>21</v>
      </c>
      <c r="B26" s="2" t="s">
        <v>13</v>
      </c>
      <c r="C26" s="2" t="s">
        <v>14</v>
      </c>
      <c r="D26" s="2">
        <v>24</v>
      </c>
      <c r="E26" s="2">
        <v>24</v>
      </c>
      <c r="F26" s="2">
        <v>20</v>
      </c>
      <c r="G26" s="2">
        <v>91</v>
      </c>
      <c r="H26" s="2">
        <v>1000000</v>
      </c>
      <c r="I26" s="2">
        <v>35</v>
      </c>
      <c r="J26" s="2">
        <v>89</v>
      </c>
      <c r="K26" s="2"/>
    </row>
    <row r="27" spans="1:11" x14ac:dyDescent="0.25">
      <c r="A27" s="2" t="s">
        <v>21</v>
      </c>
      <c r="B27" s="2" t="s">
        <v>13</v>
      </c>
      <c r="C27" s="2" t="s">
        <v>14</v>
      </c>
      <c r="D27" s="2">
        <v>25</v>
      </c>
      <c r="E27" s="2">
        <v>25</v>
      </c>
      <c r="F27" s="2">
        <v>20</v>
      </c>
      <c r="G27" s="2">
        <v>91</v>
      </c>
      <c r="H27" s="2">
        <v>1000000</v>
      </c>
      <c r="I27" s="2">
        <v>36</v>
      </c>
      <c r="J27" s="2">
        <v>89</v>
      </c>
      <c r="K27" s="2"/>
    </row>
    <row r="28" spans="1:11" x14ac:dyDescent="0.25">
      <c r="A28" s="2" t="s">
        <v>21</v>
      </c>
      <c r="B28" s="2" t="s">
        <v>13</v>
      </c>
      <c r="C28" s="2" t="s">
        <v>14</v>
      </c>
      <c r="D28" s="2">
        <v>26</v>
      </c>
      <c r="E28" s="2">
        <v>26</v>
      </c>
      <c r="F28" s="2">
        <v>20</v>
      </c>
      <c r="G28" s="2">
        <v>91</v>
      </c>
      <c r="H28" s="2">
        <v>1000000</v>
      </c>
      <c r="I28" s="2">
        <v>72</v>
      </c>
      <c r="J28" s="2">
        <v>89</v>
      </c>
      <c r="K28" s="2"/>
    </row>
    <row r="29" spans="1:11" x14ac:dyDescent="0.25">
      <c r="A29" s="2" t="s">
        <v>21</v>
      </c>
      <c r="B29" s="2" t="s">
        <v>13</v>
      </c>
      <c r="C29" s="2" t="s">
        <v>14</v>
      </c>
      <c r="D29" s="2">
        <v>27</v>
      </c>
      <c r="E29" s="2">
        <v>27</v>
      </c>
      <c r="F29" s="2">
        <v>20</v>
      </c>
      <c r="G29" s="2">
        <v>91</v>
      </c>
      <c r="H29" s="2">
        <v>1000000</v>
      </c>
      <c r="I29" s="2">
        <v>46</v>
      </c>
      <c r="J29" s="2">
        <v>87</v>
      </c>
      <c r="K29" s="2"/>
    </row>
    <row r="30" spans="1:11" x14ac:dyDescent="0.25">
      <c r="A30" s="2" t="s">
        <v>21</v>
      </c>
      <c r="B30" s="2" t="s">
        <v>13</v>
      </c>
      <c r="C30" s="2" t="s">
        <v>14</v>
      </c>
      <c r="D30" s="2">
        <v>28</v>
      </c>
      <c r="E30" s="2">
        <v>28</v>
      </c>
      <c r="F30" s="2">
        <v>20</v>
      </c>
      <c r="G30" s="2">
        <v>91</v>
      </c>
      <c r="H30" s="2">
        <v>1000000</v>
      </c>
      <c r="I30" s="2">
        <v>33</v>
      </c>
      <c r="J30" s="2">
        <v>87</v>
      </c>
      <c r="K30" s="2"/>
    </row>
    <row r="31" spans="1:11" x14ac:dyDescent="0.25">
      <c r="A31" s="2" t="s">
        <v>21</v>
      </c>
      <c r="B31" s="2" t="s">
        <v>13</v>
      </c>
      <c r="C31" s="2" t="s">
        <v>14</v>
      </c>
      <c r="D31" s="2">
        <v>29</v>
      </c>
      <c r="E31" s="2">
        <v>29</v>
      </c>
      <c r="F31" s="2">
        <v>20</v>
      </c>
      <c r="G31" s="2">
        <v>91</v>
      </c>
      <c r="H31" s="2">
        <v>1000000</v>
      </c>
      <c r="I31" s="2">
        <v>45</v>
      </c>
      <c r="J31" s="2">
        <v>88</v>
      </c>
      <c r="K31" s="2"/>
    </row>
    <row r="32" spans="1:11" x14ac:dyDescent="0.25">
      <c r="A32" s="3" t="s">
        <v>21</v>
      </c>
      <c r="B32" s="3" t="s">
        <v>15</v>
      </c>
      <c r="C32" s="3" t="s">
        <v>16</v>
      </c>
      <c r="D32" s="3">
        <v>0</v>
      </c>
      <c r="E32" s="3">
        <v>0</v>
      </c>
      <c r="F32" s="3">
        <v>100</v>
      </c>
      <c r="G32" s="3">
        <v>430</v>
      </c>
      <c r="H32" s="3">
        <v>1000000</v>
      </c>
      <c r="I32" s="3">
        <v>483</v>
      </c>
      <c r="J32" s="3">
        <v>421</v>
      </c>
      <c r="K32" s="3"/>
    </row>
    <row r="33" spans="1:11" x14ac:dyDescent="0.25">
      <c r="A33" s="3" t="s">
        <v>21</v>
      </c>
      <c r="B33" s="3" t="s">
        <v>15</v>
      </c>
      <c r="C33" s="3" t="s">
        <v>16</v>
      </c>
      <c r="D33" s="3">
        <v>1</v>
      </c>
      <c r="E33" s="3">
        <v>1</v>
      </c>
      <c r="F33" s="3">
        <v>100</v>
      </c>
      <c r="G33" s="3">
        <v>430</v>
      </c>
      <c r="H33" s="3">
        <v>1000000</v>
      </c>
      <c r="I33" s="3">
        <v>461</v>
      </c>
      <c r="J33" s="3">
        <v>420</v>
      </c>
      <c r="K33" s="3"/>
    </row>
    <row r="34" spans="1:11" x14ac:dyDescent="0.25">
      <c r="A34" s="3" t="s">
        <v>21</v>
      </c>
      <c r="B34" s="3" t="s">
        <v>15</v>
      </c>
      <c r="C34" s="3" t="s">
        <v>16</v>
      </c>
      <c r="D34" s="3">
        <v>2</v>
      </c>
      <c r="E34" s="3">
        <v>2</v>
      </c>
      <c r="F34" s="3">
        <v>100</v>
      </c>
      <c r="G34" s="3">
        <v>430</v>
      </c>
      <c r="H34" s="3">
        <v>1000000</v>
      </c>
      <c r="I34" s="3">
        <v>450</v>
      </c>
      <c r="J34" s="3">
        <v>423</v>
      </c>
      <c r="K34" s="3"/>
    </row>
    <row r="35" spans="1:11" x14ac:dyDescent="0.25">
      <c r="A35" s="3" t="s">
        <v>21</v>
      </c>
      <c r="B35" s="3" t="s">
        <v>15</v>
      </c>
      <c r="C35" s="3" t="s">
        <v>16</v>
      </c>
      <c r="D35" s="3">
        <v>3</v>
      </c>
      <c r="E35" s="3">
        <v>3</v>
      </c>
      <c r="F35" s="3">
        <v>100</v>
      </c>
      <c r="G35" s="3">
        <v>430</v>
      </c>
      <c r="H35" s="3">
        <v>1000000</v>
      </c>
      <c r="I35" s="3">
        <v>621</v>
      </c>
      <c r="J35" s="3">
        <v>415</v>
      </c>
      <c r="K35" s="3"/>
    </row>
    <row r="36" spans="1:11" x14ac:dyDescent="0.25">
      <c r="A36" s="3" t="s">
        <v>21</v>
      </c>
      <c r="B36" s="3" t="s">
        <v>15</v>
      </c>
      <c r="C36" s="3" t="s">
        <v>16</v>
      </c>
      <c r="D36" s="3">
        <v>4</v>
      </c>
      <c r="E36" s="3">
        <v>4</v>
      </c>
      <c r="F36" s="3">
        <v>100</v>
      </c>
      <c r="G36" s="3">
        <v>430</v>
      </c>
      <c r="H36" s="3">
        <v>1000000</v>
      </c>
      <c r="I36" s="3">
        <v>424</v>
      </c>
      <c r="J36" s="3">
        <v>423</v>
      </c>
      <c r="K36" s="3"/>
    </row>
    <row r="37" spans="1:11" x14ac:dyDescent="0.25">
      <c r="A37" s="3" t="s">
        <v>21</v>
      </c>
      <c r="B37" s="3" t="s">
        <v>15</v>
      </c>
      <c r="C37" s="3" t="s">
        <v>16</v>
      </c>
      <c r="D37" s="3">
        <v>5</v>
      </c>
      <c r="E37" s="3">
        <v>5</v>
      </c>
      <c r="F37" s="3">
        <v>100</v>
      </c>
      <c r="G37" s="3">
        <v>430</v>
      </c>
      <c r="H37" s="3">
        <v>1000000</v>
      </c>
      <c r="I37" s="3">
        <v>343</v>
      </c>
      <c r="J37" s="3">
        <v>418</v>
      </c>
      <c r="K37" s="3"/>
    </row>
    <row r="38" spans="1:11" x14ac:dyDescent="0.25">
      <c r="A38" s="3" t="s">
        <v>21</v>
      </c>
      <c r="B38" s="3" t="s">
        <v>15</v>
      </c>
      <c r="C38" s="3" t="s">
        <v>16</v>
      </c>
      <c r="D38" s="3">
        <v>6</v>
      </c>
      <c r="E38" s="3">
        <v>6</v>
      </c>
      <c r="F38" s="3">
        <v>100</v>
      </c>
      <c r="G38" s="3">
        <v>430</v>
      </c>
      <c r="H38" s="3">
        <v>1000000</v>
      </c>
      <c r="I38" s="3">
        <v>294</v>
      </c>
      <c r="J38" s="3">
        <v>417</v>
      </c>
      <c r="K38" s="3"/>
    </row>
    <row r="39" spans="1:11" x14ac:dyDescent="0.25">
      <c r="A39" s="3" t="s">
        <v>21</v>
      </c>
      <c r="B39" s="3" t="s">
        <v>15</v>
      </c>
      <c r="C39" s="3" t="s">
        <v>16</v>
      </c>
      <c r="D39" s="3">
        <v>7</v>
      </c>
      <c r="E39" s="3">
        <v>7</v>
      </c>
      <c r="F39" s="3">
        <v>100</v>
      </c>
      <c r="G39" s="3">
        <v>430</v>
      </c>
      <c r="H39" s="3">
        <v>1000000</v>
      </c>
      <c r="I39" s="3">
        <v>370</v>
      </c>
      <c r="J39" s="3">
        <v>414</v>
      </c>
      <c r="K39" s="3"/>
    </row>
    <row r="40" spans="1:11" x14ac:dyDescent="0.25">
      <c r="A40" s="3" t="s">
        <v>21</v>
      </c>
      <c r="B40" s="3" t="s">
        <v>15</v>
      </c>
      <c r="C40" s="3" t="s">
        <v>16</v>
      </c>
      <c r="D40" s="3">
        <v>8</v>
      </c>
      <c r="E40" s="3">
        <v>8</v>
      </c>
      <c r="F40" s="3">
        <v>100</v>
      </c>
      <c r="G40" s="3">
        <v>430</v>
      </c>
      <c r="H40" s="3">
        <v>1000000</v>
      </c>
      <c r="I40" s="3">
        <v>476</v>
      </c>
      <c r="J40" s="3">
        <v>420</v>
      </c>
      <c r="K40" s="3"/>
    </row>
    <row r="41" spans="1:11" x14ac:dyDescent="0.25">
      <c r="A41" s="3" t="s">
        <v>21</v>
      </c>
      <c r="B41" s="3" t="s">
        <v>15</v>
      </c>
      <c r="C41" s="3" t="s">
        <v>16</v>
      </c>
      <c r="D41" s="3">
        <v>9</v>
      </c>
      <c r="E41" s="3">
        <v>9</v>
      </c>
      <c r="F41" s="3">
        <v>100</v>
      </c>
      <c r="G41" s="3">
        <v>430</v>
      </c>
      <c r="H41" s="3">
        <v>1000000</v>
      </c>
      <c r="I41" s="3">
        <v>446</v>
      </c>
      <c r="J41" s="3">
        <v>419</v>
      </c>
      <c r="K41" s="3"/>
    </row>
    <row r="42" spans="1:11" x14ac:dyDescent="0.25">
      <c r="A42" s="3" t="s">
        <v>21</v>
      </c>
      <c r="B42" s="3" t="s">
        <v>15</v>
      </c>
      <c r="C42" s="3" t="s">
        <v>16</v>
      </c>
      <c r="D42" s="3">
        <v>10</v>
      </c>
      <c r="E42" s="3">
        <v>10</v>
      </c>
      <c r="F42" s="3">
        <v>100</v>
      </c>
      <c r="G42" s="3">
        <v>430</v>
      </c>
      <c r="H42" s="3">
        <v>1000000</v>
      </c>
      <c r="I42" s="3">
        <v>398</v>
      </c>
      <c r="J42" s="3">
        <v>422</v>
      </c>
      <c r="K42" s="3"/>
    </row>
    <row r="43" spans="1:11" x14ac:dyDescent="0.25">
      <c r="A43" s="3" t="s">
        <v>21</v>
      </c>
      <c r="B43" s="3" t="s">
        <v>15</v>
      </c>
      <c r="C43" s="3" t="s">
        <v>16</v>
      </c>
      <c r="D43" s="3">
        <v>11</v>
      </c>
      <c r="E43" s="3">
        <v>11</v>
      </c>
      <c r="F43" s="3">
        <v>100</v>
      </c>
      <c r="G43" s="3">
        <v>430</v>
      </c>
      <c r="H43" s="3">
        <v>1000000</v>
      </c>
      <c r="I43" s="3">
        <v>393</v>
      </c>
      <c r="J43" s="3">
        <v>418</v>
      </c>
      <c r="K43" s="3"/>
    </row>
    <row r="44" spans="1:11" x14ac:dyDescent="0.25">
      <c r="A44" s="3" t="s">
        <v>21</v>
      </c>
      <c r="B44" s="3" t="s">
        <v>15</v>
      </c>
      <c r="C44" s="3" t="s">
        <v>16</v>
      </c>
      <c r="D44" s="3">
        <v>12</v>
      </c>
      <c r="E44" s="3">
        <v>12</v>
      </c>
      <c r="F44" s="3">
        <v>100</v>
      </c>
      <c r="G44" s="3">
        <v>430</v>
      </c>
      <c r="H44" s="3">
        <v>1000000</v>
      </c>
      <c r="I44" s="3">
        <v>435</v>
      </c>
      <c r="J44" s="3">
        <v>421</v>
      </c>
      <c r="K44" s="3"/>
    </row>
    <row r="45" spans="1:11" x14ac:dyDescent="0.25">
      <c r="A45" s="3" t="s">
        <v>21</v>
      </c>
      <c r="B45" s="3" t="s">
        <v>15</v>
      </c>
      <c r="C45" s="3" t="s">
        <v>16</v>
      </c>
      <c r="D45" s="3">
        <v>13</v>
      </c>
      <c r="E45" s="3">
        <v>13</v>
      </c>
      <c r="F45" s="3">
        <v>100</v>
      </c>
      <c r="G45" s="3">
        <v>430</v>
      </c>
      <c r="H45" s="3">
        <v>1000000</v>
      </c>
      <c r="I45" s="3">
        <v>326</v>
      </c>
      <c r="J45" s="3">
        <v>415</v>
      </c>
      <c r="K45" s="3"/>
    </row>
    <row r="46" spans="1:11" x14ac:dyDescent="0.25">
      <c r="A46" s="3" t="s">
        <v>21</v>
      </c>
      <c r="B46" s="3" t="s">
        <v>15</v>
      </c>
      <c r="C46" s="3" t="s">
        <v>16</v>
      </c>
      <c r="D46" s="3">
        <v>14</v>
      </c>
      <c r="E46" s="3">
        <v>14</v>
      </c>
      <c r="F46" s="3">
        <v>100</v>
      </c>
      <c r="G46" s="3">
        <v>430</v>
      </c>
      <c r="H46" s="3">
        <v>1000000</v>
      </c>
      <c r="I46" s="3">
        <v>455</v>
      </c>
      <c r="J46" s="3">
        <v>420</v>
      </c>
      <c r="K46" s="3"/>
    </row>
    <row r="47" spans="1:11" x14ac:dyDescent="0.25">
      <c r="A47" s="3" t="s">
        <v>21</v>
      </c>
      <c r="B47" s="3" t="s">
        <v>15</v>
      </c>
      <c r="C47" s="3" t="s">
        <v>16</v>
      </c>
      <c r="D47" s="3">
        <v>15</v>
      </c>
      <c r="E47" s="3">
        <v>15</v>
      </c>
      <c r="F47" s="3">
        <v>100</v>
      </c>
      <c r="G47" s="3">
        <v>430</v>
      </c>
      <c r="H47" s="3">
        <v>1000000</v>
      </c>
      <c r="I47" s="3">
        <v>398</v>
      </c>
      <c r="J47" s="3">
        <v>419</v>
      </c>
      <c r="K47" s="3"/>
    </row>
    <row r="48" spans="1:11" x14ac:dyDescent="0.25">
      <c r="A48" s="3" t="s">
        <v>21</v>
      </c>
      <c r="B48" s="3" t="s">
        <v>15</v>
      </c>
      <c r="C48" s="3" t="s">
        <v>16</v>
      </c>
      <c r="D48" s="3">
        <v>16</v>
      </c>
      <c r="E48" s="3">
        <v>16</v>
      </c>
      <c r="F48" s="3">
        <v>100</v>
      </c>
      <c r="G48" s="3">
        <v>430</v>
      </c>
      <c r="H48" s="3">
        <v>1000000</v>
      </c>
      <c r="I48" s="3">
        <v>533</v>
      </c>
      <c r="J48" s="3">
        <v>418</v>
      </c>
      <c r="K48" s="3"/>
    </row>
    <row r="49" spans="1:11" x14ac:dyDescent="0.25">
      <c r="A49" s="3" t="s">
        <v>21</v>
      </c>
      <c r="B49" s="3" t="s">
        <v>15</v>
      </c>
      <c r="C49" s="3" t="s">
        <v>16</v>
      </c>
      <c r="D49" s="3">
        <v>17</v>
      </c>
      <c r="E49" s="3">
        <v>17</v>
      </c>
      <c r="F49" s="3">
        <v>100</v>
      </c>
      <c r="G49" s="3">
        <v>430</v>
      </c>
      <c r="H49" s="3">
        <v>1000000</v>
      </c>
      <c r="I49" s="3">
        <v>344</v>
      </c>
      <c r="J49" s="3">
        <v>414</v>
      </c>
      <c r="K49" s="3"/>
    </row>
    <row r="50" spans="1:11" x14ac:dyDescent="0.25">
      <c r="A50" s="3" t="s">
        <v>21</v>
      </c>
      <c r="B50" s="3" t="s">
        <v>15</v>
      </c>
      <c r="C50" s="3" t="s">
        <v>16</v>
      </c>
      <c r="D50" s="3">
        <v>18</v>
      </c>
      <c r="E50" s="3">
        <v>18</v>
      </c>
      <c r="F50" s="3">
        <v>100</v>
      </c>
      <c r="G50" s="3">
        <v>430</v>
      </c>
      <c r="H50" s="3">
        <v>1000000</v>
      </c>
      <c r="I50" s="3">
        <v>536</v>
      </c>
      <c r="J50" s="3">
        <v>419</v>
      </c>
      <c r="K50" s="3"/>
    </row>
    <row r="51" spans="1:11" x14ac:dyDescent="0.25">
      <c r="A51" s="3" t="s">
        <v>21</v>
      </c>
      <c r="B51" s="3" t="s">
        <v>15</v>
      </c>
      <c r="C51" s="3" t="s">
        <v>16</v>
      </c>
      <c r="D51" s="3">
        <v>19</v>
      </c>
      <c r="E51" s="3">
        <v>19</v>
      </c>
      <c r="F51" s="3">
        <v>100</v>
      </c>
      <c r="G51" s="3">
        <v>430</v>
      </c>
      <c r="H51" s="3">
        <v>1000000</v>
      </c>
      <c r="I51" s="3">
        <v>368</v>
      </c>
      <c r="J51" s="3">
        <v>417</v>
      </c>
      <c r="K51" s="3"/>
    </row>
    <row r="52" spans="1:11" x14ac:dyDescent="0.25">
      <c r="A52" s="3" t="s">
        <v>21</v>
      </c>
      <c r="B52" s="3" t="s">
        <v>15</v>
      </c>
      <c r="C52" s="3" t="s">
        <v>16</v>
      </c>
      <c r="D52" s="3">
        <v>20</v>
      </c>
      <c r="E52" s="3">
        <v>20</v>
      </c>
      <c r="F52" s="3">
        <v>100</v>
      </c>
      <c r="G52" s="3">
        <v>430</v>
      </c>
      <c r="H52" s="3">
        <v>1000000</v>
      </c>
      <c r="I52" s="3">
        <v>468</v>
      </c>
      <c r="J52" s="3">
        <v>423</v>
      </c>
      <c r="K52" s="3"/>
    </row>
    <row r="53" spans="1:11" x14ac:dyDescent="0.25">
      <c r="A53" s="3" t="s">
        <v>21</v>
      </c>
      <c r="B53" s="3" t="s">
        <v>15</v>
      </c>
      <c r="C53" s="3" t="s">
        <v>16</v>
      </c>
      <c r="D53" s="3">
        <v>21</v>
      </c>
      <c r="E53" s="3">
        <v>21</v>
      </c>
      <c r="F53" s="3">
        <v>100</v>
      </c>
      <c r="G53" s="3">
        <v>430</v>
      </c>
      <c r="H53" s="3">
        <v>1000000</v>
      </c>
      <c r="I53" s="3">
        <v>327</v>
      </c>
      <c r="J53" s="3">
        <v>418</v>
      </c>
      <c r="K53" s="3"/>
    </row>
    <row r="54" spans="1:11" x14ac:dyDescent="0.25">
      <c r="A54" s="3" t="s">
        <v>21</v>
      </c>
      <c r="B54" s="3" t="s">
        <v>15</v>
      </c>
      <c r="C54" s="3" t="s">
        <v>16</v>
      </c>
      <c r="D54" s="3">
        <v>22</v>
      </c>
      <c r="E54" s="3">
        <v>22</v>
      </c>
      <c r="F54" s="3">
        <v>100</v>
      </c>
      <c r="G54" s="3">
        <v>430</v>
      </c>
      <c r="H54" s="3">
        <v>1000000</v>
      </c>
      <c r="I54" s="3">
        <v>510</v>
      </c>
      <c r="J54" s="3">
        <v>423</v>
      </c>
      <c r="K54" s="3"/>
    </row>
    <row r="55" spans="1:11" x14ac:dyDescent="0.25">
      <c r="A55" s="3" t="s">
        <v>21</v>
      </c>
      <c r="B55" s="3" t="s">
        <v>15</v>
      </c>
      <c r="C55" s="3" t="s">
        <v>16</v>
      </c>
      <c r="D55" s="3">
        <v>23</v>
      </c>
      <c r="E55" s="3">
        <v>23</v>
      </c>
      <c r="F55" s="3">
        <v>100</v>
      </c>
      <c r="G55" s="3">
        <v>430</v>
      </c>
      <c r="H55" s="3">
        <v>1000000</v>
      </c>
      <c r="I55" s="3">
        <v>444</v>
      </c>
      <c r="J55" s="3">
        <v>419</v>
      </c>
      <c r="K55" s="3"/>
    </row>
    <row r="56" spans="1:11" x14ac:dyDescent="0.25">
      <c r="A56" s="3" t="s">
        <v>21</v>
      </c>
      <c r="B56" s="3" t="s">
        <v>15</v>
      </c>
      <c r="C56" s="3" t="s">
        <v>16</v>
      </c>
      <c r="D56" s="3">
        <v>24</v>
      </c>
      <c r="E56" s="3">
        <v>24</v>
      </c>
      <c r="F56" s="3">
        <v>100</v>
      </c>
      <c r="G56" s="3">
        <v>430</v>
      </c>
      <c r="H56" s="3">
        <v>1000000</v>
      </c>
      <c r="I56" s="3">
        <v>403</v>
      </c>
      <c r="J56" s="3">
        <v>420</v>
      </c>
      <c r="K56" s="3"/>
    </row>
    <row r="57" spans="1:11" x14ac:dyDescent="0.25">
      <c r="A57" s="3" t="s">
        <v>21</v>
      </c>
      <c r="B57" s="3" t="s">
        <v>15</v>
      </c>
      <c r="C57" s="3" t="s">
        <v>16</v>
      </c>
      <c r="D57" s="3">
        <v>25</v>
      </c>
      <c r="E57" s="3">
        <v>25</v>
      </c>
      <c r="F57" s="3">
        <v>100</v>
      </c>
      <c r="G57" s="3">
        <v>430</v>
      </c>
      <c r="H57" s="3">
        <v>1000000</v>
      </c>
      <c r="I57" s="3">
        <v>296</v>
      </c>
      <c r="J57" s="3">
        <v>420</v>
      </c>
      <c r="K57" s="3"/>
    </row>
    <row r="58" spans="1:11" x14ac:dyDescent="0.25">
      <c r="A58" s="3" t="s">
        <v>21</v>
      </c>
      <c r="B58" s="3" t="s">
        <v>15</v>
      </c>
      <c r="C58" s="3" t="s">
        <v>16</v>
      </c>
      <c r="D58" s="3">
        <v>26</v>
      </c>
      <c r="E58" s="3">
        <v>26</v>
      </c>
      <c r="F58" s="3">
        <v>100</v>
      </c>
      <c r="G58" s="3">
        <v>430</v>
      </c>
      <c r="H58" s="3">
        <v>1000000</v>
      </c>
      <c r="I58" s="3">
        <v>437</v>
      </c>
      <c r="J58" s="3">
        <v>419</v>
      </c>
      <c r="K58" s="3"/>
    </row>
    <row r="59" spans="1:11" x14ac:dyDescent="0.25">
      <c r="A59" s="3" t="s">
        <v>21</v>
      </c>
      <c r="B59" s="3" t="s">
        <v>15</v>
      </c>
      <c r="C59" s="3" t="s">
        <v>16</v>
      </c>
      <c r="D59" s="3">
        <v>27</v>
      </c>
      <c r="E59" s="3">
        <v>27</v>
      </c>
      <c r="F59" s="3">
        <v>100</v>
      </c>
      <c r="G59" s="3">
        <v>430</v>
      </c>
      <c r="H59" s="3">
        <v>1000000</v>
      </c>
      <c r="I59" s="3">
        <v>551</v>
      </c>
      <c r="J59" s="3">
        <v>415</v>
      </c>
      <c r="K59" s="3"/>
    </row>
    <row r="60" spans="1:11" x14ac:dyDescent="0.25">
      <c r="A60" s="3" t="s">
        <v>21</v>
      </c>
      <c r="B60" s="3" t="s">
        <v>15</v>
      </c>
      <c r="C60" s="3" t="s">
        <v>16</v>
      </c>
      <c r="D60" s="3">
        <v>28</v>
      </c>
      <c r="E60" s="3">
        <v>28</v>
      </c>
      <c r="F60" s="3">
        <v>100</v>
      </c>
      <c r="G60" s="3">
        <v>430</v>
      </c>
      <c r="H60" s="3">
        <v>1000000</v>
      </c>
      <c r="I60" s="3">
        <v>676</v>
      </c>
      <c r="J60" s="3">
        <v>422</v>
      </c>
      <c r="K60" s="3"/>
    </row>
    <row r="61" spans="1:11" x14ac:dyDescent="0.25">
      <c r="A61" s="3" t="s">
        <v>21</v>
      </c>
      <c r="B61" s="3" t="s">
        <v>15</v>
      </c>
      <c r="C61" s="3" t="s">
        <v>16</v>
      </c>
      <c r="D61" s="3">
        <v>29</v>
      </c>
      <c r="E61" s="3">
        <v>29</v>
      </c>
      <c r="F61" s="3">
        <v>100</v>
      </c>
      <c r="G61" s="3">
        <v>430</v>
      </c>
      <c r="H61" s="3">
        <v>1000000</v>
      </c>
      <c r="I61" s="3">
        <v>433</v>
      </c>
      <c r="J61" s="3">
        <v>415</v>
      </c>
      <c r="K61" s="3"/>
    </row>
    <row r="62" spans="1:11" x14ac:dyDescent="0.25">
      <c r="A62" s="2" t="s">
        <v>21</v>
      </c>
      <c r="B62" s="2" t="s">
        <v>17</v>
      </c>
      <c r="C62" s="2" t="s">
        <v>18</v>
      </c>
      <c r="D62" s="2">
        <v>0</v>
      </c>
      <c r="E62" s="2">
        <v>0</v>
      </c>
      <c r="F62" s="2">
        <v>250</v>
      </c>
      <c r="G62" s="2">
        <v>1065</v>
      </c>
      <c r="H62" s="2">
        <v>1000000</v>
      </c>
      <c r="I62" s="2">
        <v>1495</v>
      </c>
      <c r="J62" s="2">
        <v>1042</v>
      </c>
      <c r="K62" s="2"/>
    </row>
    <row r="63" spans="1:11" x14ac:dyDescent="0.25">
      <c r="A63" s="2" t="s">
        <v>21</v>
      </c>
      <c r="B63" s="2" t="s">
        <v>17</v>
      </c>
      <c r="C63" s="2" t="s">
        <v>18</v>
      </c>
      <c r="D63" s="2">
        <v>1</v>
      </c>
      <c r="E63" s="2">
        <v>1</v>
      </c>
      <c r="F63" s="2">
        <v>250</v>
      </c>
      <c r="G63" s="2">
        <v>1065</v>
      </c>
      <c r="H63" s="2">
        <v>1000000</v>
      </c>
      <c r="I63" s="2">
        <v>1324</v>
      </c>
      <c r="J63" s="2">
        <v>1047</v>
      </c>
      <c r="K63" s="2"/>
    </row>
    <row r="64" spans="1:11" x14ac:dyDescent="0.25">
      <c r="A64" s="2" t="s">
        <v>21</v>
      </c>
      <c r="B64" s="2" t="s">
        <v>17</v>
      </c>
      <c r="C64" s="2" t="s">
        <v>18</v>
      </c>
      <c r="D64" s="2">
        <v>2</v>
      </c>
      <c r="E64" s="2">
        <v>2</v>
      </c>
      <c r="F64" s="2">
        <v>250</v>
      </c>
      <c r="G64" s="2">
        <v>1065</v>
      </c>
      <c r="H64" s="2">
        <v>1000000</v>
      </c>
      <c r="I64" s="2">
        <v>1119</v>
      </c>
      <c r="J64" s="2">
        <v>1039</v>
      </c>
      <c r="K64" s="2"/>
    </row>
    <row r="65" spans="1:11" x14ac:dyDescent="0.25">
      <c r="A65" s="2" t="s">
        <v>21</v>
      </c>
      <c r="B65" s="2" t="s">
        <v>17</v>
      </c>
      <c r="C65" s="2" t="s">
        <v>18</v>
      </c>
      <c r="D65" s="2">
        <v>3</v>
      </c>
      <c r="E65" s="2">
        <v>3</v>
      </c>
      <c r="F65" s="2">
        <v>250</v>
      </c>
      <c r="G65" s="2">
        <v>1065</v>
      </c>
      <c r="H65" s="2">
        <v>1000000</v>
      </c>
      <c r="I65" s="2">
        <v>1148</v>
      </c>
      <c r="J65" s="2">
        <v>1042</v>
      </c>
      <c r="K65" s="2"/>
    </row>
    <row r="66" spans="1:11" x14ac:dyDescent="0.25">
      <c r="A66" s="2" t="s">
        <v>21</v>
      </c>
      <c r="B66" s="2" t="s">
        <v>17</v>
      </c>
      <c r="C66" s="2" t="s">
        <v>18</v>
      </c>
      <c r="D66" s="2">
        <v>4</v>
      </c>
      <c r="E66" s="2">
        <v>4</v>
      </c>
      <c r="F66" s="2">
        <v>250</v>
      </c>
      <c r="G66" s="2">
        <v>1065</v>
      </c>
      <c r="H66" s="2">
        <v>1000000</v>
      </c>
      <c r="I66" s="2">
        <v>1205</v>
      </c>
      <c r="J66" s="2">
        <v>1044</v>
      </c>
      <c r="K66" s="2"/>
    </row>
    <row r="67" spans="1:11" x14ac:dyDescent="0.25">
      <c r="A67" s="2" t="s">
        <v>21</v>
      </c>
      <c r="B67" s="2" t="s">
        <v>17</v>
      </c>
      <c r="C67" s="2" t="s">
        <v>18</v>
      </c>
      <c r="D67" s="2">
        <v>5</v>
      </c>
      <c r="E67" s="2">
        <v>5</v>
      </c>
      <c r="F67" s="2">
        <v>250</v>
      </c>
      <c r="G67" s="2">
        <v>1065</v>
      </c>
      <c r="H67" s="2">
        <v>1000000</v>
      </c>
      <c r="I67" s="2">
        <v>1029</v>
      </c>
      <c r="J67" s="2">
        <v>1043</v>
      </c>
      <c r="K67" s="2"/>
    </row>
    <row r="68" spans="1:11" x14ac:dyDescent="0.25">
      <c r="A68" s="2" t="s">
        <v>21</v>
      </c>
      <c r="B68" s="2" t="s">
        <v>17</v>
      </c>
      <c r="C68" s="2" t="s">
        <v>18</v>
      </c>
      <c r="D68" s="2">
        <v>6</v>
      </c>
      <c r="E68" s="2">
        <v>6</v>
      </c>
      <c r="F68" s="2">
        <v>250</v>
      </c>
      <c r="G68" s="2">
        <v>1065</v>
      </c>
      <c r="H68" s="2">
        <v>1000000</v>
      </c>
      <c r="I68" s="2">
        <v>1336</v>
      </c>
      <c r="J68" s="2">
        <v>1037</v>
      </c>
      <c r="K68" s="2"/>
    </row>
    <row r="69" spans="1:11" x14ac:dyDescent="0.25">
      <c r="A69" s="2" t="s">
        <v>21</v>
      </c>
      <c r="B69" s="2" t="s">
        <v>17</v>
      </c>
      <c r="C69" s="2" t="s">
        <v>18</v>
      </c>
      <c r="D69" s="2">
        <v>7</v>
      </c>
      <c r="E69" s="2">
        <v>7</v>
      </c>
      <c r="F69" s="2">
        <v>250</v>
      </c>
      <c r="G69" s="2">
        <v>1065</v>
      </c>
      <c r="H69" s="2">
        <v>1000000</v>
      </c>
      <c r="I69" s="2">
        <v>1222</v>
      </c>
      <c r="J69" s="2">
        <v>1032</v>
      </c>
      <c r="K69" s="2"/>
    </row>
    <row r="70" spans="1:11" x14ac:dyDescent="0.25">
      <c r="A70" s="2" t="s">
        <v>21</v>
      </c>
      <c r="B70" s="2" t="s">
        <v>17</v>
      </c>
      <c r="C70" s="2" t="s">
        <v>18</v>
      </c>
      <c r="D70" s="2">
        <v>8</v>
      </c>
      <c r="E70" s="2">
        <v>8</v>
      </c>
      <c r="F70" s="2">
        <v>250</v>
      </c>
      <c r="G70" s="2">
        <v>1065</v>
      </c>
      <c r="H70" s="2">
        <v>1000000</v>
      </c>
      <c r="I70" s="2">
        <v>990</v>
      </c>
      <c r="J70" s="2">
        <v>1039</v>
      </c>
      <c r="K70" s="2"/>
    </row>
    <row r="71" spans="1:11" x14ac:dyDescent="0.25">
      <c r="A71" s="2" t="s">
        <v>21</v>
      </c>
      <c r="B71" s="2" t="s">
        <v>17</v>
      </c>
      <c r="C71" s="2" t="s">
        <v>18</v>
      </c>
      <c r="D71" s="2">
        <v>9</v>
      </c>
      <c r="E71" s="2">
        <v>9</v>
      </c>
      <c r="F71" s="2">
        <v>250</v>
      </c>
      <c r="G71" s="2">
        <v>1065</v>
      </c>
      <c r="H71" s="2">
        <v>1000000</v>
      </c>
      <c r="I71" s="2">
        <v>1518</v>
      </c>
      <c r="J71" s="2">
        <v>1041</v>
      </c>
      <c r="K71" s="2"/>
    </row>
    <row r="72" spans="1:11" x14ac:dyDescent="0.25">
      <c r="A72" s="2" t="s">
        <v>21</v>
      </c>
      <c r="B72" s="2" t="s">
        <v>17</v>
      </c>
      <c r="C72" s="2" t="s">
        <v>18</v>
      </c>
      <c r="D72" s="2">
        <v>10</v>
      </c>
      <c r="E72" s="2">
        <v>10</v>
      </c>
      <c r="F72" s="2">
        <v>250</v>
      </c>
      <c r="G72" s="2">
        <v>1065</v>
      </c>
      <c r="H72" s="2">
        <v>1000000</v>
      </c>
      <c r="I72" s="2">
        <v>1343</v>
      </c>
      <c r="J72" s="2">
        <v>1041</v>
      </c>
      <c r="K72" s="2"/>
    </row>
    <row r="73" spans="1:11" x14ac:dyDescent="0.25">
      <c r="A73" s="2" t="s">
        <v>21</v>
      </c>
      <c r="B73" s="2" t="s">
        <v>17</v>
      </c>
      <c r="C73" s="2" t="s">
        <v>18</v>
      </c>
      <c r="D73" s="2">
        <v>11</v>
      </c>
      <c r="E73" s="2">
        <v>11</v>
      </c>
      <c r="F73" s="2">
        <v>250</v>
      </c>
      <c r="G73" s="2">
        <v>1065</v>
      </c>
      <c r="H73" s="2">
        <v>1000000</v>
      </c>
      <c r="I73" s="2">
        <v>1129</v>
      </c>
      <c r="J73" s="2">
        <v>1036</v>
      </c>
      <c r="K73" s="2"/>
    </row>
    <row r="74" spans="1:11" x14ac:dyDescent="0.25">
      <c r="A74" s="2" t="s">
        <v>21</v>
      </c>
      <c r="B74" s="2" t="s">
        <v>17</v>
      </c>
      <c r="C74" s="2" t="s">
        <v>18</v>
      </c>
      <c r="D74" s="2">
        <v>12</v>
      </c>
      <c r="E74" s="2">
        <v>12</v>
      </c>
      <c r="F74" s="2">
        <v>250</v>
      </c>
      <c r="G74" s="2">
        <v>1065</v>
      </c>
      <c r="H74" s="2">
        <v>1000000</v>
      </c>
      <c r="I74" s="2">
        <v>1402</v>
      </c>
      <c r="J74" s="2">
        <v>1041</v>
      </c>
      <c r="K74" s="2"/>
    </row>
    <row r="75" spans="1:11" x14ac:dyDescent="0.25">
      <c r="A75" s="2" t="s">
        <v>21</v>
      </c>
      <c r="B75" s="2" t="s">
        <v>17</v>
      </c>
      <c r="C75" s="2" t="s">
        <v>18</v>
      </c>
      <c r="D75" s="2">
        <v>13</v>
      </c>
      <c r="E75" s="2">
        <v>13</v>
      </c>
      <c r="F75" s="2">
        <v>250</v>
      </c>
      <c r="G75" s="2">
        <v>1065</v>
      </c>
      <c r="H75" s="2">
        <v>1000000</v>
      </c>
      <c r="I75" s="2">
        <v>1290</v>
      </c>
      <c r="J75" s="2">
        <v>1040</v>
      </c>
      <c r="K75" s="2"/>
    </row>
    <row r="76" spans="1:11" x14ac:dyDescent="0.25">
      <c r="A76" s="2" t="s">
        <v>21</v>
      </c>
      <c r="B76" s="2" t="s">
        <v>17</v>
      </c>
      <c r="C76" s="2" t="s">
        <v>18</v>
      </c>
      <c r="D76" s="2">
        <v>14</v>
      </c>
      <c r="E76" s="2">
        <v>14</v>
      </c>
      <c r="F76" s="2">
        <v>250</v>
      </c>
      <c r="G76" s="2">
        <v>1065</v>
      </c>
      <c r="H76" s="2">
        <v>1000000</v>
      </c>
      <c r="I76" s="2">
        <v>1383</v>
      </c>
      <c r="J76" s="2">
        <v>1045</v>
      </c>
      <c r="K76" s="2"/>
    </row>
    <row r="77" spans="1:11" x14ac:dyDescent="0.25">
      <c r="A77" s="2" t="s">
        <v>21</v>
      </c>
      <c r="B77" s="2" t="s">
        <v>17</v>
      </c>
      <c r="C77" s="2" t="s">
        <v>18</v>
      </c>
      <c r="D77" s="2">
        <v>15</v>
      </c>
      <c r="E77" s="2">
        <v>15</v>
      </c>
      <c r="F77" s="2">
        <v>250</v>
      </c>
      <c r="G77" s="2">
        <v>1065</v>
      </c>
      <c r="H77" s="2">
        <v>1000000</v>
      </c>
      <c r="I77" s="2">
        <v>1171</v>
      </c>
      <c r="J77" s="2">
        <v>1045</v>
      </c>
      <c r="K77" s="2"/>
    </row>
    <row r="78" spans="1:11" x14ac:dyDescent="0.25">
      <c r="A78" s="2" t="s">
        <v>21</v>
      </c>
      <c r="B78" s="2" t="s">
        <v>17</v>
      </c>
      <c r="C78" s="2" t="s">
        <v>18</v>
      </c>
      <c r="D78" s="2">
        <v>16</v>
      </c>
      <c r="E78" s="2">
        <v>16</v>
      </c>
      <c r="F78" s="2">
        <v>250</v>
      </c>
      <c r="G78" s="2">
        <v>1065</v>
      </c>
      <c r="H78" s="2">
        <v>1000000</v>
      </c>
      <c r="I78" s="2">
        <v>1148</v>
      </c>
      <c r="J78" s="2">
        <v>1038</v>
      </c>
      <c r="K78" s="2"/>
    </row>
    <row r="79" spans="1:11" x14ac:dyDescent="0.25">
      <c r="A79" s="2" t="s">
        <v>21</v>
      </c>
      <c r="B79" s="2" t="s">
        <v>17</v>
      </c>
      <c r="C79" s="2" t="s">
        <v>18</v>
      </c>
      <c r="D79" s="2">
        <v>17</v>
      </c>
      <c r="E79" s="2">
        <v>17</v>
      </c>
      <c r="F79" s="2">
        <v>250</v>
      </c>
      <c r="G79" s="2">
        <v>1065</v>
      </c>
      <c r="H79" s="2">
        <v>1000000</v>
      </c>
      <c r="I79" s="2">
        <v>893</v>
      </c>
      <c r="J79" s="2">
        <v>1046</v>
      </c>
      <c r="K79" s="2"/>
    </row>
    <row r="80" spans="1:11" x14ac:dyDescent="0.25">
      <c r="A80" s="2" t="s">
        <v>21</v>
      </c>
      <c r="B80" s="2" t="s">
        <v>17</v>
      </c>
      <c r="C80" s="2" t="s">
        <v>18</v>
      </c>
      <c r="D80" s="2">
        <v>18</v>
      </c>
      <c r="E80" s="2">
        <v>18</v>
      </c>
      <c r="F80" s="2">
        <v>250</v>
      </c>
      <c r="G80" s="2">
        <v>1065</v>
      </c>
      <c r="H80" s="2">
        <v>1000000</v>
      </c>
      <c r="I80" s="2">
        <v>1074</v>
      </c>
      <c r="J80" s="2">
        <v>1035</v>
      </c>
      <c r="K80" s="2"/>
    </row>
    <row r="81" spans="1:11" x14ac:dyDescent="0.25">
      <c r="A81" s="2" t="s">
        <v>21</v>
      </c>
      <c r="B81" s="2" t="s">
        <v>17</v>
      </c>
      <c r="C81" s="2" t="s">
        <v>18</v>
      </c>
      <c r="D81" s="2">
        <v>19</v>
      </c>
      <c r="E81" s="2">
        <v>19</v>
      </c>
      <c r="F81" s="2">
        <v>250</v>
      </c>
      <c r="G81" s="2">
        <v>1065</v>
      </c>
      <c r="H81" s="2">
        <v>1000000</v>
      </c>
      <c r="I81" s="2">
        <v>1278</v>
      </c>
      <c r="J81" s="2">
        <v>1037</v>
      </c>
      <c r="K81" s="2"/>
    </row>
    <row r="82" spans="1:11" x14ac:dyDescent="0.25">
      <c r="A82" s="2" t="s">
        <v>21</v>
      </c>
      <c r="B82" s="2" t="s">
        <v>17</v>
      </c>
      <c r="C82" s="2" t="s">
        <v>18</v>
      </c>
      <c r="D82" s="2">
        <v>20</v>
      </c>
      <c r="E82" s="2">
        <v>20</v>
      </c>
      <c r="F82" s="2">
        <v>250</v>
      </c>
      <c r="G82" s="2">
        <v>1065</v>
      </c>
      <c r="H82" s="2">
        <v>1000000</v>
      </c>
      <c r="I82" s="2">
        <v>1250</v>
      </c>
      <c r="J82" s="2">
        <v>1041</v>
      </c>
      <c r="K82" s="2"/>
    </row>
    <row r="83" spans="1:11" x14ac:dyDescent="0.25">
      <c r="A83" s="2" t="s">
        <v>21</v>
      </c>
      <c r="B83" s="2" t="s">
        <v>17</v>
      </c>
      <c r="C83" s="2" t="s">
        <v>18</v>
      </c>
      <c r="D83" s="2">
        <v>21</v>
      </c>
      <c r="E83" s="2">
        <v>21</v>
      </c>
      <c r="F83" s="2">
        <v>250</v>
      </c>
      <c r="G83" s="2">
        <v>1065</v>
      </c>
      <c r="H83" s="2">
        <v>1000000</v>
      </c>
      <c r="I83" s="2">
        <v>1156</v>
      </c>
      <c r="J83" s="2">
        <v>1050</v>
      </c>
      <c r="K83" s="2"/>
    </row>
    <row r="84" spans="1:11" x14ac:dyDescent="0.25">
      <c r="A84" s="2" t="s">
        <v>21</v>
      </c>
      <c r="B84" s="2" t="s">
        <v>17</v>
      </c>
      <c r="C84" s="2" t="s">
        <v>18</v>
      </c>
      <c r="D84" s="2">
        <v>22</v>
      </c>
      <c r="E84" s="2">
        <v>22</v>
      </c>
      <c r="F84" s="2">
        <v>250</v>
      </c>
      <c r="G84" s="2">
        <v>1065</v>
      </c>
      <c r="H84" s="2">
        <v>1000000</v>
      </c>
      <c r="I84" s="2">
        <v>1408</v>
      </c>
      <c r="J84" s="2">
        <v>1036</v>
      </c>
      <c r="K84" s="2"/>
    </row>
    <row r="85" spans="1:11" x14ac:dyDescent="0.25">
      <c r="A85" s="2" t="s">
        <v>21</v>
      </c>
      <c r="B85" s="2" t="s">
        <v>17</v>
      </c>
      <c r="C85" s="2" t="s">
        <v>18</v>
      </c>
      <c r="D85" s="2">
        <v>23</v>
      </c>
      <c r="E85" s="2">
        <v>23</v>
      </c>
      <c r="F85" s="2">
        <v>250</v>
      </c>
      <c r="G85" s="2">
        <v>1065</v>
      </c>
      <c r="H85" s="2">
        <v>1000000</v>
      </c>
      <c r="I85" s="2">
        <v>1388</v>
      </c>
      <c r="J85" s="2">
        <v>1047</v>
      </c>
      <c r="K85" s="2"/>
    </row>
    <row r="86" spans="1:11" x14ac:dyDescent="0.25">
      <c r="A86" s="2" t="s">
        <v>21</v>
      </c>
      <c r="B86" s="2" t="s">
        <v>17</v>
      </c>
      <c r="C86" s="2" t="s">
        <v>18</v>
      </c>
      <c r="D86" s="2">
        <v>24</v>
      </c>
      <c r="E86" s="2">
        <v>24</v>
      </c>
      <c r="F86" s="2">
        <v>250</v>
      </c>
      <c r="G86" s="2">
        <v>1065</v>
      </c>
      <c r="H86" s="2">
        <v>1000000</v>
      </c>
      <c r="I86" s="2">
        <v>1304</v>
      </c>
      <c r="J86" s="2">
        <v>1049</v>
      </c>
      <c r="K86" s="2"/>
    </row>
    <row r="87" spans="1:11" x14ac:dyDescent="0.25">
      <c r="A87" s="2" t="s">
        <v>21</v>
      </c>
      <c r="B87" s="2" t="s">
        <v>17</v>
      </c>
      <c r="C87" s="2" t="s">
        <v>18</v>
      </c>
      <c r="D87" s="2">
        <v>25</v>
      </c>
      <c r="E87" s="2">
        <v>25</v>
      </c>
      <c r="F87" s="2">
        <v>250</v>
      </c>
      <c r="G87" s="2">
        <v>1065</v>
      </c>
      <c r="H87" s="2">
        <v>1000000</v>
      </c>
      <c r="I87" s="2">
        <v>1196</v>
      </c>
      <c r="J87" s="2">
        <v>1048</v>
      </c>
      <c r="K87" s="2"/>
    </row>
    <row r="88" spans="1:11" x14ac:dyDescent="0.25">
      <c r="A88" s="2" t="s">
        <v>21</v>
      </c>
      <c r="B88" s="2" t="s">
        <v>17</v>
      </c>
      <c r="C88" s="2" t="s">
        <v>18</v>
      </c>
      <c r="D88" s="2">
        <v>26</v>
      </c>
      <c r="E88" s="2">
        <v>26</v>
      </c>
      <c r="F88" s="2">
        <v>250</v>
      </c>
      <c r="G88" s="2">
        <v>1065</v>
      </c>
      <c r="H88" s="2">
        <v>1000000</v>
      </c>
      <c r="I88" s="2">
        <v>1547</v>
      </c>
      <c r="J88" s="2">
        <v>1046</v>
      </c>
      <c r="K88" s="2"/>
    </row>
    <row r="89" spans="1:11" x14ac:dyDescent="0.25">
      <c r="A89" s="2" t="s">
        <v>21</v>
      </c>
      <c r="B89" s="2" t="s">
        <v>17</v>
      </c>
      <c r="C89" s="2" t="s">
        <v>18</v>
      </c>
      <c r="D89" s="2">
        <v>27</v>
      </c>
      <c r="E89" s="2">
        <v>27</v>
      </c>
      <c r="F89" s="2">
        <v>250</v>
      </c>
      <c r="G89" s="2">
        <v>1065</v>
      </c>
      <c r="H89" s="2">
        <v>1000000</v>
      </c>
      <c r="I89" s="2">
        <v>1444</v>
      </c>
      <c r="J89" s="2">
        <v>1047</v>
      </c>
      <c r="K89" s="2"/>
    </row>
    <row r="90" spans="1:11" x14ac:dyDescent="0.25">
      <c r="A90" s="2" t="s">
        <v>21</v>
      </c>
      <c r="B90" s="2" t="s">
        <v>17</v>
      </c>
      <c r="C90" s="2" t="s">
        <v>18</v>
      </c>
      <c r="D90" s="2">
        <v>28</v>
      </c>
      <c r="E90" s="2">
        <v>28</v>
      </c>
      <c r="F90" s="2">
        <v>250</v>
      </c>
      <c r="G90" s="2">
        <v>1065</v>
      </c>
      <c r="H90" s="2">
        <v>1000000</v>
      </c>
      <c r="I90" s="2">
        <v>1210</v>
      </c>
      <c r="J90" s="2">
        <v>1045</v>
      </c>
      <c r="K90" s="2"/>
    </row>
    <row r="91" spans="1:11" x14ac:dyDescent="0.25">
      <c r="A91" s="2" t="s">
        <v>21</v>
      </c>
      <c r="B91" s="2" t="s">
        <v>17</v>
      </c>
      <c r="C91" s="2" t="s">
        <v>18</v>
      </c>
      <c r="D91" s="2">
        <v>29</v>
      </c>
      <c r="E91" s="2">
        <v>29</v>
      </c>
      <c r="F91" s="2">
        <v>250</v>
      </c>
      <c r="G91" s="2">
        <v>1065</v>
      </c>
      <c r="H91" s="2">
        <v>1000000</v>
      </c>
      <c r="I91" s="2">
        <v>1206</v>
      </c>
      <c r="J91" s="2">
        <v>1035</v>
      </c>
      <c r="K9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31598-27F9-4781-B43A-CB458412AF29}">
  <dimension ref="A1:K91"/>
  <sheetViews>
    <sheetView zoomScaleNormal="100" workbookViewId="0">
      <selection activeCell="M28" sqref="M28"/>
    </sheetView>
  </sheetViews>
  <sheetFormatPr defaultRowHeight="15" x14ac:dyDescent="0.25"/>
  <cols>
    <col min="1" max="1" width="14.7109375" customWidth="1"/>
    <col min="2" max="2" width="15.7109375" customWidth="1"/>
    <col min="3" max="3" width="9.28515625" customWidth="1"/>
    <col min="6" max="6" width="10" customWidth="1"/>
    <col min="7" max="7" width="13.28515625" customWidth="1"/>
    <col min="8" max="8" width="15" customWidth="1"/>
    <col min="9" max="9" width="16.7109375" customWidth="1"/>
    <col min="10" max="10" width="18.7109375" customWidth="1"/>
  </cols>
  <sheetData>
    <row r="1" spans="1:1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10</v>
      </c>
      <c r="I1" s="1" t="s">
        <v>11</v>
      </c>
      <c r="J1" s="1" t="s">
        <v>12</v>
      </c>
      <c r="K1" s="1" t="s">
        <v>20</v>
      </c>
    </row>
    <row r="2" spans="1:11" x14ac:dyDescent="0.25">
      <c r="A2" s="2" t="s">
        <v>22</v>
      </c>
      <c r="B2" s="2" t="s">
        <v>13</v>
      </c>
      <c r="C2" s="2" t="s">
        <v>14</v>
      </c>
      <c r="D2" s="2">
        <v>0</v>
      </c>
      <c r="E2" s="2">
        <v>0</v>
      </c>
      <c r="F2" s="2">
        <v>20</v>
      </c>
      <c r="G2" s="2">
        <v>91</v>
      </c>
      <c r="H2" s="2">
        <v>1000000</v>
      </c>
      <c r="I2" s="2">
        <v>403</v>
      </c>
      <c r="J2" s="2">
        <v>91</v>
      </c>
      <c r="K2" s="2"/>
    </row>
    <row r="3" spans="1:11" x14ac:dyDescent="0.25">
      <c r="A3" s="2" t="s">
        <v>22</v>
      </c>
      <c r="B3" s="2" t="s">
        <v>13</v>
      </c>
      <c r="C3" s="2" t="s">
        <v>14</v>
      </c>
      <c r="D3" s="2">
        <v>1</v>
      </c>
      <c r="E3" s="2">
        <v>1</v>
      </c>
      <c r="F3" s="2">
        <v>20</v>
      </c>
      <c r="G3" s="2">
        <v>91</v>
      </c>
      <c r="H3" s="2">
        <v>1000000</v>
      </c>
      <c r="I3" s="2">
        <v>307</v>
      </c>
      <c r="J3" s="2">
        <v>91</v>
      </c>
      <c r="K3" s="2"/>
    </row>
    <row r="4" spans="1:11" x14ac:dyDescent="0.25">
      <c r="A4" s="2" t="s">
        <v>22</v>
      </c>
      <c r="B4" s="2" t="s">
        <v>13</v>
      </c>
      <c r="C4" s="2" t="s">
        <v>14</v>
      </c>
      <c r="D4" s="2">
        <v>2</v>
      </c>
      <c r="E4" s="2">
        <v>2</v>
      </c>
      <c r="F4" s="2">
        <v>20</v>
      </c>
      <c r="G4" s="2">
        <v>91</v>
      </c>
      <c r="H4" s="2">
        <v>1000000</v>
      </c>
      <c r="I4" s="2">
        <v>536</v>
      </c>
      <c r="J4" s="2">
        <v>91</v>
      </c>
      <c r="K4" s="2"/>
    </row>
    <row r="5" spans="1:11" x14ac:dyDescent="0.25">
      <c r="A5" s="2" t="s">
        <v>22</v>
      </c>
      <c r="B5" s="2" t="s">
        <v>13</v>
      </c>
      <c r="C5" s="2" t="s">
        <v>14</v>
      </c>
      <c r="D5" s="2">
        <v>3</v>
      </c>
      <c r="E5" s="2">
        <v>3</v>
      </c>
      <c r="F5" s="2">
        <v>20</v>
      </c>
      <c r="G5" s="2">
        <v>91</v>
      </c>
      <c r="H5" s="2">
        <v>1000000</v>
      </c>
      <c r="I5" s="2">
        <v>1193</v>
      </c>
      <c r="J5" s="2">
        <v>91</v>
      </c>
      <c r="K5" s="2"/>
    </row>
    <row r="6" spans="1:11" x14ac:dyDescent="0.25">
      <c r="A6" s="2" t="s">
        <v>22</v>
      </c>
      <c r="B6" s="2" t="s">
        <v>13</v>
      </c>
      <c r="C6" s="2" t="s">
        <v>14</v>
      </c>
      <c r="D6" s="2">
        <v>4</v>
      </c>
      <c r="E6" s="2">
        <v>4</v>
      </c>
      <c r="F6" s="2">
        <v>20</v>
      </c>
      <c r="G6" s="2">
        <v>91</v>
      </c>
      <c r="H6" s="2">
        <v>1000000</v>
      </c>
      <c r="I6" s="2">
        <v>218</v>
      </c>
      <c r="J6" s="2">
        <v>91</v>
      </c>
      <c r="K6" s="2"/>
    </row>
    <row r="7" spans="1:11" x14ac:dyDescent="0.25">
      <c r="A7" s="2" t="s">
        <v>22</v>
      </c>
      <c r="B7" s="2" t="s">
        <v>13</v>
      </c>
      <c r="C7" s="2" t="s">
        <v>14</v>
      </c>
      <c r="D7" s="2">
        <v>5</v>
      </c>
      <c r="E7" s="2">
        <v>5</v>
      </c>
      <c r="F7" s="2">
        <v>20</v>
      </c>
      <c r="G7" s="2">
        <v>91</v>
      </c>
      <c r="H7" s="2">
        <v>1000000</v>
      </c>
      <c r="I7" s="2">
        <v>303</v>
      </c>
      <c r="J7" s="2">
        <v>91</v>
      </c>
      <c r="K7" s="2"/>
    </row>
    <row r="8" spans="1:11" x14ac:dyDescent="0.25">
      <c r="A8" s="2" t="s">
        <v>22</v>
      </c>
      <c r="B8" s="2" t="s">
        <v>13</v>
      </c>
      <c r="C8" s="2" t="s">
        <v>14</v>
      </c>
      <c r="D8" s="2">
        <v>6</v>
      </c>
      <c r="E8" s="2">
        <v>6</v>
      </c>
      <c r="F8" s="2">
        <v>20</v>
      </c>
      <c r="G8" s="2">
        <v>91</v>
      </c>
      <c r="H8" s="2">
        <v>1000000</v>
      </c>
      <c r="I8" s="2">
        <v>807</v>
      </c>
      <c r="J8" s="2">
        <v>91</v>
      </c>
      <c r="K8" s="2"/>
    </row>
    <row r="9" spans="1:11" x14ac:dyDescent="0.25">
      <c r="A9" s="2" t="s">
        <v>22</v>
      </c>
      <c r="B9" s="2" t="s">
        <v>13</v>
      </c>
      <c r="C9" s="2" t="s">
        <v>14</v>
      </c>
      <c r="D9" s="2">
        <v>7</v>
      </c>
      <c r="E9" s="2">
        <v>7</v>
      </c>
      <c r="F9" s="2">
        <v>20</v>
      </c>
      <c r="G9" s="2">
        <v>91</v>
      </c>
      <c r="H9" s="2">
        <v>1000000</v>
      </c>
      <c r="I9" s="2">
        <v>516</v>
      </c>
      <c r="J9" s="2">
        <v>91</v>
      </c>
      <c r="K9" s="2"/>
    </row>
    <row r="10" spans="1:11" x14ac:dyDescent="0.25">
      <c r="A10" s="2" t="s">
        <v>22</v>
      </c>
      <c r="B10" s="2" t="s">
        <v>13</v>
      </c>
      <c r="C10" s="2" t="s">
        <v>14</v>
      </c>
      <c r="D10" s="2">
        <v>8</v>
      </c>
      <c r="E10" s="2">
        <v>8</v>
      </c>
      <c r="F10" s="2">
        <v>20</v>
      </c>
      <c r="G10" s="2">
        <v>91</v>
      </c>
      <c r="H10" s="2">
        <v>1000000</v>
      </c>
      <c r="I10" s="2">
        <v>1493</v>
      </c>
      <c r="J10" s="2">
        <v>91</v>
      </c>
      <c r="K10" s="2"/>
    </row>
    <row r="11" spans="1:11" x14ac:dyDescent="0.25">
      <c r="A11" s="2" t="s">
        <v>22</v>
      </c>
      <c r="B11" s="2" t="s">
        <v>13</v>
      </c>
      <c r="C11" s="2" t="s">
        <v>14</v>
      </c>
      <c r="D11" s="2">
        <v>9</v>
      </c>
      <c r="E11" s="2">
        <v>9</v>
      </c>
      <c r="F11" s="2">
        <v>20</v>
      </c>
      <c r="G11" s="2">
        <v>91</v>
      </c>
      <c r="H11" s="2">
        <v>1000000</v>
      </c>
      <c r="I11" s="2">
        <v>433</v>
      </c>
      <c r="J11" s="2">
        <v>91</v>
      </c>
      <c r="K11" s="2"/>
    </row>
    <row r="12" spans="1:11" x14ac:dyDescent="0.25">
      <c r="A12" s="2" t="s">
        <v>22</v>
      </c>
      <c r="B12" s="2" t="s">
        <v>13</v>
      </c>
      <c r="C12" s="2" t="s">
        <v>14</v>
      </c>
      <c r="D12" s="2">
        <v>10</v>
      </c>
      <c r="E12" s="2">
        <v>10</v>
      </c>
      <c r="F12" s="2">
        <v>20</v>
      </c>
      <c r="G12" s="2">
        <v>91</v>
      </c>
      <c r="H12" s="2">
        <v>1000000</v>
      </c>
      <c r="I12" s="2">
        <v>77</v>
      </c>
      <c r="J12" s="2">
        <v>91</v>
      </c>
      <c r="K12" s="2"/>
    </row>
    <row r="13" spans="1:11" x14ac:dyDescent="0.25">
      <c r="A13" s="2" t="s">
        <v>22</v>
      </c>
      <c r="B13" s="2" t="s">
        <v>13</v>
      </c>
      <c r="C13" s="2" t="s">
        <v>14</v>
      </c>
      <c r="D13" s="2">
        <v>11</v>
      </c>
      <c r="E13" s="2">
        <v>11</v>
      </c>
      <c r="F13" s="2">
        <v>20</v>
      </c>
      <c r="G13" s="2">
        <v>91</v>
      </c>
      <c r="H13" s="2">
        <v>1000000</v>
      </c>
      <c r="I13" s="2">
        <v>86</v>
      </c>
      <c r="J13" s="2">
        <v>91</v>
      </c>
      <c r="K13" s="2"/>
    </row>
    <row r="14" spans="1:11" x14ac:dyDescent="0.25">
      <c r="A14" s="2" t="s">
        <v>22</v>
      </c>
      <c r="B14" s="2" t="s">
        <v>13</v>
      </c>
      <c r="C14" s="2" t="s">
        <v>14</v>
      </c>
      <c r="D14" s="2">
        <v>12</v>
      </c>
      <c r="E14" s="2">
        <v>12</v>
      </c>
      <c r="F14" s="2">
        <v>20</v>
      </c>
      <c r="G14" s="2">
        <v>91</v>
      </c>
      <c r="H14" s="2">
        <v>1000000</v>
      </c>
      <c r="I14" s="2">
        <v>1059</v>
      </c>
      <c r="J14" s="2">
        <v>91</v>
      </c>
      <c r="K14" s="2"/>
    </row>
    <row r="15" spans="1:11" x14ac:dyDescent="0.25">
      <c r="A15" s="2" t="s">
        <v>22</v>
      </c>
      <c r="B15" s="2" t="s">
        <v>13</v>
      </c>
      <c r="C15" s="2" t="s">
        <v>14</v>
      </c>
      <c r="D15" s="2">
        <v>13</v>
      </c>
      <c r="E15" s="2">
        <v>13</v>
      </c>
      <c r="F15" s="2">
        <v>20</v>
      </c>
      <c r="G15" s="2">
        <v>91</v>
      </c>
      <c r="H15" s="2">
        <v>1000000</v>
      </c>
      <c r="I15" s="2">
        <v>368</v>
      </c>
      <c r="J15" s="2">
        <v>91</v>
      </c>
      <c r="K15" s="2"/>
    </row>
    <row r="16" spans="1:11" x14ac:dyDescent="0.25">
      <c r="A16" s="2" t="s">
        <v>22</v>
      </c>
      <c r="B16" s="2" t="s">
        <v>13</v>
      </c>
      <c r="C16" s="2" t="s">
        <v>14</v>
      </c>
      <c r="D16" s="2">
        <v>14</v>
      </c>
      <c r="E16" s="2">
        <v>14</v>
      </c>
      <c r="F16" s="2">
        <v>20</v>
      </c>
      <c r="G16" s="2">
        <v>91</v>
      </c>
      <c r="H16" s="2">
        <v>1000000</v>
      </c>
      <c r="I16" s="2">
        <v>188</v>
      </c>
      <c r="J16" s="2">
        <v>91</v>
      </c>
      <c r="K16" s="2"/>
    </row>
    <row r="17" spans="1:11" x14ac:dyDescent="0.25">
      <c r="A17" s="2" t="s">
        <v>22</v>
      </c>
      <c r="B17" s="2" t="s">
        <v>13</v>
      </c>
      <c r="C17" s="2" t="s">
        <v>14</v>
      </c>
      <c r="D17" s="2">
        <v>15</v>
      </c>
      <c r="E17" s="2">
        <v>15</v>
      </c>
      <c r="F17" s="2">
        <v>20</v>
      </c>
      <c r="G17" s="2">
        <v>91</v>
      </c>
      <c r="H17" s="2">
        <v>1000000</v>
      </c>
      <c r="I17" s="2">
        <v>27</v>
      </c>
      <c r="J17" s="2">
        <v>91</v>
      </c>
      <c r="K17" s="2"/>
    </row>
    <row r="18" spans="1:11" x14ac:dyDescent="0.25">
      <c r="A18" s="2" t="s">
        <v>22</v>
      </c>
      <c r="B18" s="2" t="s">
        <v>13</v>
      </c>
      <c r="C18" s="2" t="s">
        <v>14</v>
      </c>
      <c r="D18" s="2">
        <v>16</v>
      </c>
      <c r="E18" s="2">
        <v>16</v>
      </c>
      <c r="F18" s="2">
        <v>20</v>
      </c>
      <c r="G18" s="2">
        <v>91</v>
      </c>
      <c r="H18" s="2">
        <v>1000000</v>
      </c>
      <c r="I18" s="2">
        <v>571</v>
      </c>
      <c r="J18" s="2">
        <v>91</v>
      </c>
      <c r="K18" s="2"/>
    </row>
    <row r="19" spans="1:11" x14ac:dyDescent="0.25">
      <c r="A19" s="2" t="s">
        <v>22</v>
      </c>
      <c r="B19" s="2" t="s">
        <v>13</v>
      </c>
      <c r="C19" s="2" t="s">
        <v>14</v>
      </c>
      <c r="D19" s="2">
        <v>17</v>
      </c>
      <c r="E19" s="2">
        <v>17</v>
      </c>
      <c r="F19" s="2">
        <v>20</v>
      </c>
      <c r="G19" s="2">
        <v>91</v>
      </c>
      <c r="H19" s="2">
        <v>1000000</v>
      </c>
      <c r="I19" s="2">
        <v>303</v>
      </c>
      <c r="J19" s="2">
        <v>91</v>
      </c>
      <c r="K19" s="2"/>
    </row>
    <row r="20" spans="1:11" x14ac:dyDescent="0.25">
      <c r="A20" s="2" t="s">
        <v>22</v>
      </c>
      <c r="B20" s="2" t="s">
        <v>13</v>
      </c>
      <c r="C20" s="2" t="s">
        <v>14</v>
      </c>
      <c r="D20" s="2">
        <v>18</v>
      </c>
      <c r="E20" s="2">
        <v>18</v>
      </c>
      <c r="F20" s="2">
        <v>20</v>
      </c>
      <c r="G20" s="2">
        <v>91</v>
      </c>
      <c r="H20" s="2">
        <v>1000000</v>
      </c>
      <c r="I20" s="2">
        <v>425</v>
      </c>
      <c r="J20" s="2">
        <v>91</v>
      </c>
      <c r="K20" s="2"/>
    </row>
    <row r="21" spans="1:11" x14ac:dyDescent="0.25">
      <c r="A21" s="2" t="s">
        <v>22</v>
      </c>
      <c r="B21" s="2" t="s">
        <v>13</v>
      </c>
      <c r="C21" s="2" t="s">
        <v>14</v>
      </c>
      <c r="D21" s="2">
        <v>19</v>
      </c>
      <c r="E21" s="2">
        <v>19</v>
      </c>
      <c r="F21" s="2">
        <v>20</v>
      </c>
      <c r="G21" s="2">
        <v>91</v>
      </c>
      <c r="H21" s="2">
        <v>1000000</v>
      </c>
      <c r="I21" s="2">
        <v>302</v>
      </c>
      <c r="J21" s="2">
        <v>91</v>
      </c>
      <c r="K21" s="2"/>
    </row>
    <row r="22" spans="1:11" x14ac:dyDescent="0.25">
      <c r="A22" s="2" t="s">
        <v>22</v>
      </c>
      <c r="B22" s="2" t="s">
        <v>13</v>
      </c>
      <c r="C22" s="2" t="s">
        <v>14</v>
      </c>
      <c r="D22" s="2">
        <v>20</v>
      </c>
      <c r="E22" s="2">
        <v>20</v>
      </c>
      <c r="F22" s="2">
        <v>20</v>
      </c>
      <c r="G22" s="2">
        <v>91</v>
      </c>
      <c r="H22" s="2">
        <v>1000000</v>
      </c>
      <c r="I22" s="2">
        <v>184</v>
      </c>
      <c r="J22" s="2">
        <v>91</v>
      </c>
      <c r="K22" s="2"/>
    </row>
    <row r="23" spans="1:11" x14ac:dyDescent="0.25">
      <c r="A23" s="2" t="s">
        <v>22</v>
      </c>
      <c r="B23" s="2" t="s">
        <v>13</v>
      </c>
      <c r="C23" s="2" t="s">
        <v>14</v>
      </c>
      <c r="D23" s="2">
        <v>21</v>
      </c>
      <c r="E23" s="2">
        <v>21</v>
      </c>
      <c r="F23" s="2">
        <v>20</v>
      </c>
      <c r="G23" s="2">
        <v>91</v>
      </c>
      <c r="H23" s="2">
        <v>1000000</v>
      </c>
      <c r="I23" s="2">
        <v>652</v>
      </c>
      <c r="J23" s="2">
        <v>91</v>
      </c>
      <c r="K23" s="2"/>
    </row>
    <row r="24" spans="1:11" x14ac:dyDescent="0.25">
      <c r="A24" s="2" t="s">
        <v>22</v>
      </c>
      <c r="B24" s="2" t="s">
        <v>13</v>
      </c>
      <c r="C24" s="2" t="s">
        <v>14</v>
      </c>
      <c r="D24" s="2">
        <v>22</v>
      </c>
      <c r="E24" s="2">
        <v>22</v>
      </c>
      <c r="F24" s="2">
        <v>20</v>
      </c>
      <c r="G24" s="2">
        <v>91</v>
      </c>
      <c r="H24" s="2">
        <v>1000000</v>
      </c>
      <c r="I24" s="2">
        <v>854</v>
      </c>
      <c r="J24" s="2">
        <v>91</v>
      </c>
      <c r="K24" s="2"/>
    </row>
    <row r="25" spans="1:11" x14ac:dyDescent="0.25">
      <c r="A25" s="2" t="s">
        <v>22</v>
      </c>
      <c r="B25" s="2" t="s">
        <v>13</v>
      </c>
      <c r="C25" s="2" t="s">
        <v>14</v>
      </c>
      <c r="D25" s="2">
        <v>23</v>
      </c>
      <c r="E25" s="2">
        <v>23</v>
      </c>
      <c r="F25" s="2">
        <v>20</v>
      </c>
      <c r="G25" s="2">
        <v>91</v>
      </c>
      <c r="H25" s="2">
        <v>1000000</v>
      </c>
      <c r="I25" s="2">
        <v>523</v>
      </c>
      <c r="J25" s="2">
        <v>91</v>
      </c>
      <c r="K25" s="2"/>
    </row>
    <row r="26" spans="1:11" x14ac:dyDescent="0.25">
      <c r="A26" s="2" t="s">
        <v>22</v>
      </c>
      <c r="B26" s="2" t="s">
        <v>13</v>
      </c>
      <c r="C26" s="2" t="s">
        <v>14</v>
      </c>
      <c r="D26" s="2">
        <v>24</v>
      </c>
      <c r="E26" s="2">
        <v>24</v>
      </c>
      <c r="F26" s="2">
        <v>20</v>
      </c>
      <c r="G26" s="2">
        <v>91</v>
      </c>
      <c r="H26" s="2">
        <v>1000000</v>
      </c>
      <c r="I26" s="2">
        <v>474</v>
      </c>
      <c r="J26" s="2">
        <v>91</v>
      </c>
      <c r="K26" s="2"/>
    </row>
    <row r="27" spans="1:11" x14ac:dyDescent="0.25">
      <c r="A27" s="2" t="s">
        <v>22</v>
      </c>
      <c r="B27" s="2" t="s">
        <v>13</v>
      </c>
      <c r="C27" s="2" t="s">
        <v>14</v>
      </c>
      <c r="D27" s="2">
        <v>25</v>
      </c>
      <c r="E27" s="2">
        <v>25</v>
      </c>
      <c r="F27" s="2">
        <v>20</v>
      </c>
      <c r="G27" s="2">
        <v>91</v>
      </c>
      <c r="H27" s="2">
        <v>1000000</v>
      </c>
      <c r="I27" s="2">
        <v>753</v>
      </c>
      <c r="J27" s="2">
        <v>91</v>
      </c>
      <c r="K27" s="2"/>
    </row>
    <row r="28" spans="1:11" x14ac:dyDescent="0.25">
      <c r="A28" s="2" t="s">
        <v>22</v>
      </c>
      <c r="B28" s="2" t="s">
        <v>13</v>
      </c>
      <c r="C28" s="2" t="s">
        <v>14</v>
      </c>
      <c r="D28" s="2">
        <v>26</v>
      </c>
      <c r="E28" s="2">
        <v>26</v>
      </c>
      <c r="F28" s="2">
        <v>20</v>
      </c>
      <c r="G28" s="2">
        <v>91</v>
      </c>
      <c r="H28" s="2">
        <v>1000000</v>
      </c>
      <c r="I28" s="2">
        <v>123</v>
      </c>
      <c r="J28" s="2">
        <v>91</v>
      </c>
      <c r="K28" s="2"/>
    </row>
    <row r="29" spans="1:11" x14ac:dyDescent="0.25">
      <c r="A29" s="2" t="s">
        <v>22</v>
      </c>
      <c r="B29" s="2" t="s">
        <v>13</v>
      </c>
      <c r="C29" s="2" t="s">
        <v>14</v>
      </c>
      <c r="D29" s="2">
        <v>27</v>
      </c>
      <c r="E29" s="2">
        <v>27</v>
      </c>
      <c r="F29" s="2">
        <v>20</v>
      </c>
      <c r="G29" s="2">
        <v>91</v>
      </c>
      <c r="H29" s="2">
        <v>1000000</v>
      </c>
      <c r="I29" s="2">
        <v>164</v>
      </c>
      <c r="J29" s="2">
        <v>91</v>
      </c>
      <c r="K29" s="2"/>
    </row>
    <row r="30" spans="1:11" x14ac:dyDescent="0.25">
      <c r="A30" s="2" t="s">
        <v>22</v>
      </c>
      <c r="B30" s="2" t="s">
        <v>13</v>
      </c>
      <c r="C30" s="2" t="s">
        <v>14</v>
      </c>
      <c r="D30" s="2">
        <v>28</v>
      </c>
      <c r="E30" s="2">
        <v>28</v>
      </c>
      <c r="F30" s="2">
        <v>20</v>
      </c>
      <c r="G30" s="2">
        <v>91</v>
      </c>
      <c r="H30" s="2">
        <v>1000000</v>
      </c>
      <c r="I30" s="2">
        <v>113</v>
      </c>
      <c r="J30" s="2">
        <v>91</v>
      </c>
      <c r="K30" s="2"/>
    </row>
    <row r="31" spans="1:11" x14ac:dyDescent="0.25">
      <c r="A31" s="2" t="s">
        <v>22</v>
      </c>
      <c r="B31" s="2" t="s">
        <v>13</v>
      </c>
      <c r="C31" s="2" t="s">
        <v>14</v>
      </c>
      <c r="D31" s="2">
        <v>29</v>
      </c>
      <c r="E31" s="2">
        <v>29</v>
      </c>
      <c r="F31" s="2">
        <v>20</v>
      </c>
      <c r="G31" s="2">
        <v>91</v>
      </c>
      <c r="H31" s="2">
        <v>1000000</v>
      </c>
      <c r="I31" s="2">
        <v>649</v>
      </c>
      <c r="J31" s="2">
        <v>91</v>
      </c>
      <c r="K31" s="2"/>
    </row>
    <row r="32" spans="1:11" x14ac:dyDescent="0.25">
      <c r="A32" s="3" t="s">
        <v>22</v>
      </c>
      <c r="B32" s="3" t="s">
        <v>15</v>
      </c>
      <c r="C32" s="3" t="s">
        <v>16</v>
      </c>
      <c r="D32" s="3">
        <v>0</v>
      </c>
      <c r="E32" s="3">
        <v>0</v>
      </c>
      <c r="F32" s="3">
        <v>100</v>
      </c>
      <c r="G32" s="3">
        <v>430</v>
      </c>
      <c r="H32" s="3">
        <v>1000000</v>
      </c>
      <c r="I32" s="3">
        <v>1000000</v>
      </c>
      <c r="J32" s="3">
        <v>427</v>
      </c>
      <c r="K32" s="3"/>
    </row>
    <row r="33" spans="1:11" x14ac:dyDescent="0.25">
      <c r="A33" s="3" t="s">
        <v>22</v>
      </c>
      <c r="B33" s="3" t="s">
        <v>15</v>
      </c>
      <c r="C33" s="3" t="s">
        <v>16</v>
      </c>
      <c r="D33" s="3">
        <v>1</v>
      </c>
      <c r="E33" s="3">
        <v>1</v>
      </c>
      <c r="F33" s="3">
        <v>100</v>
      </c>
      <c r="G33" s="3">
        <v>430</v>
      </c>
      <c r="H33" s="3">
        <v>1000000</v>
      </c>
      <c r="I33" s="3">
        <v>1000000</v>
      </c>
      <c r="J33" s="3">
        <v>427</v>
      </c>
      <c r="K33" s="3"/>
    </row>
    <row r="34" spans="1:11" x14ac:dyDescent="0.25">
      <c r="A34" s="3" t="s">
        <v>22</v>
      </c>
      <c r="B34" s="3" t="s">
        <v>15</v>
      </c>
      <c r="C34" s="3" t="s">
        <v>16</v>
      </c>
      <c r="D34" s="3">
        <v>2</v>
      </c>
      <c r="E34" s="3">
        <v>2</v>
      </c>
      <c r="F34" s="3">
        <v>100</v>
      </c>
      <c r="G34" s="3">
        <v>430</v>
      </c>
      <c r="H34" s="3">
        <v>1000000</v>
      </c>
      <c r="I34" s="3">
        <v>1000000</v>
      </c>
      <c r="J34" s="3">
        <v>426</v>
      </c>
      <c r="K34" s="3"/>
    </row>
    <row r="35" spans="1:11" x14ac:dyDescent="0.25">
      <c r="A35" s="3" t="s">
        <v>22</v>
      </c>
      <c r="B35" s="3" t="s">
        <v>15</v>
      </c>
      <c r="C35" s="3" t="s">
        <v>16</v>
      </c>
      <c r="D35" s="3">
        <v>3</v>
      </c>
      <c r="E35" s="3">
        <v>3</v>
      </c>
      <c r="F35" s="3">
        <v>100</v>
      </c>
      <c r="G35" s="3">
        <v>430</v>
      </c>
      <c r="H35" s="3">
        <v>1000000</v>
      </c>
      <c r="I35" s="3">
        <v>1000000</v>
      </c>
      <c r="J35" s="3">
        <v>427</v>
      </c>
      <c r="K35" s="3"/>
    </row>
    <row r="36" spans="1:11" x14ac:dyDescent="0.25">
      <c r="A36" s="3" t="s">
        <v>22</v>
      </c>
      <c r="B36" s="3" t="s">
        <v>15</v>
      </c>
      <c r="C36" s="3" t="s">
        <v>16</v>
      </c>
      <c r="D36" s="3">
        <v>4</v>
      </c>
      <c r="E36" s="3">
        <v>4</v>
      </c>
      <c r="F36" s="3">
        <v>100</v>
      </c>
      <c r="G36" s="3">
        <v>430</v>
      </c>
      <c r="H36" s="3">
        <v>1000000</v>
      </c>
      <c r="I36" s="3">
        <v>1000000</v>
      </c>
      <c r="J36" s="3">
        <v>427</v>
      </c>
      <c r="K36" s="3"/>
    </row>
    <row r="37" spans="1:11" x14ac:dyDescent="0.25">
      <c r="A37" s="3" t="s">
        <v>22</v>
      </c>
      <c r="B37" s="3" t="s">
        <v>15</v>
      </c>
      <c r="C37" s="3" t="s">
        <v>16</v>
      </c>
      <c r="D37" s="3">
        <v>5</v>
      </c>
      <c r="E37" s="3">
        <v>5</v>
      </c>
      <c r="F37" s="3">
        <v>100</v>
      </c>
      <c r="G37" s="3">
        <v>430</v>
      </c>
      <c r="H37" s="3">
        <v>1000000</v>
      </c>
      <c r="I37" s="3">
        <v>1000000</v>
      </c>
      <c r="J37" s="3">
        <v>428</v>
      </c>
      <c r="K37" s="3"/>
    </row>
    <row r="38" spans="1:11" x14ac:dyDescent="0.25">
      <c r="A38" s="3" t="s">
        <v>22</v>
      </c>
      <c r="B38" s="3" t="s">
        <v>15</v>
      </c>
      <c r="C38" s="3" t="s">
        <v>16</v>
      </c>
      <c r="D38" s="3">
        <v>6</v>
      </c>
      <c r="E38" s="3">
        <v>6</v>
      </c>
      <c r="F38" s="3">
        <v>100</v>
      </c>
      <c r="G38" s="3">
        <v>430</v>
      </c>
      <c r="H38" s="3">
        <v>1000000</v>
      </c>
      <c r="I38" s="3">
        <v>1000000</v>
      </c>
      <c r="J38" s="3">
        <v>428</v>
      </c>
      <c r="K38" s="3"/>
    </row>
    <row r="39" spans="1:11" x14ac:dyDescent="0.25">
      <c r="A39" s="3" t="s">
        <v>22</v>
      </c>
      <c r="B39" s="3" t="s">
        <v>15</v>
      </c>
      <c r="C39" s="3" t="s">
        <v>16</v>
      </c>
      <c r="D39" s="3">
        <v>7</v>
      </c>
      <c r="E39" s="3">
        <v>7</v>
      </c>
      <c r="F39" s="3">
        <v>100</v>
      </c>
      <c r="G39" s="3">
        <v>430</v>
      </c>
      <c r="H39" s="3">
        <v>1000000</v>
      </c>
      <c r="I39" s="3">
        <v>1000000</v>
      </c>
      <c r="J39" s="3">
        <v>427</v>
      </c>
      <c r="K39" s="3"/>
    </row>
    <row r="40" spans="1:11" x14ac:dyDescent="0.25">
      <c r="A40" s="3" t="s">
        <v>22</v>
      </c>
      <c r="B40" s="3" t="s">
        <v>15</v>
      </c>
      <c r="C40" s="3" t="s">
        <v>16</v>
      </c>
      <c r="D40" s="3">
        <v>8</v>
      </c>
      <c r="E40" s="3">
        <v>8</v>
      </c>
      <c r="F40" s="3">
        <v>100</v>
      </c>
      <c r="G40" s="3">
        <v>430</v>
      </c>
      <c r="H40" s="3">
        <v>1000000</v>
      </c>
      <c r="I40" s="3">
        <v>1000000</v>
      </c>
      <c r="J40" s="3">
        <v>428</v>
      </c>
      <c r="K40" s="3"/>
    </row>
    <row r="41" spans="1:11" x14ac:dyDescent="0.25">
      <c r="A41" s="3" t="s">
        <v>22</v>
      </c>
      <c r="B41" s="3" t="s">
        <v>15</v>
      </c>
      <c r="C41" s="3" t="s">
        <v>16</v>
      </c>
      <c r="D41" s="3">
        <v>9</v>
      </c>
      <c r="E41" s="3">
        <v>9</v>
      </c>
      <c r="F41" s="3">
        <v>100</v>
      </c>
      <c r="G41" s="3">
        <v>430</v>
      </c>
      <c r="H41" s="3">
        <v>1000000</v>
      </c>
      <c r="I41" s="3">
        <v>1000000</v>
      </c>
      <c r="J41" s="3">
        <v>428</v>
      </c>
      <c r="K41" s="3"/>
    </row>
    <row r="42" spans="1:11" x14ac:dyDescent="0.25">
      <c r="A42" s="3" t="s">
        <v>22</v>
      </c>
      <c r="B42" s="3" t="s">
        <v>15</v>
      </c>
      <c r="C42" s="3" t="s">
        <v>16</v>
      </c>
      <c r="D42" s="3">
        <v>10</v>
      </c>
      <c r="E42" s="3">
        <v>10</v>
      </c>
      <c r="F42" s="3">
        <v>100</v>
      </c>
      <c r="G42" s="3">
        <v>430</v>
      </c>
      <c r="H42" s="3">
        <v>1000000</v>
      </c>
      <c r="I42" s="3">
        <v>1000000</v>
      </c>
      <c r="J42" s="3">
        <v>428</v>
      </c>
      <c r="K42" s="3"/>
    </row>
    <row r="43" spans="1:11" x14ac:dyDescent="0.25">
      <c r="A43" s="3" t="s">
        <v>22</v>
      </c>
      <c r="B43" s="3" t="s">
        <v>15</v>
      </c>
      <c r="C43" s="3" t="s">
        <v>16</v>
      </c>
      <c r="D43" s="3">
        <v>11</v>
      </c>
      <c r="E43" s="3">
        <v>11</v>
      </c>
      <c r="F43" s="3">
        <v>100</v>
      </c>
      <c r="G43" s="3">
        <v>430</v>
      </c>
      <c r="H43" s="3">
        <v>1000000</v>
      </c>
      <c r="I43" s="3">
        <v>1000000</v>
      </c>
      <c r="J43" s="3">
        <v>428</v>
      </c>
      <c r="K43" s="3"/>
    </row>
    <row r="44" spans="1:11" x14ac:dyDescent="0.25">
      <c r="A44" s="3" t="s">
        <v>22</v>
      </c>
      <c r="B44" s="3" t="s">
        <v>15</v>
      </c>
      <c r="C44" s="3" t="s">
        <v>16</v>
      </c>
      <c r="D44" s="3">
        <v>12</v>
      </c>
      <c r="E44" s="3">
        <v>12</v>
      </c>
      <c r="F44" s="3">
        <v>100</v>
      </c>
      <c r="G44" s="3">
        <v>430</v>
      </c>
      <c r="H44" s="3">
        <v>1000000</v>
      </c>
      <c r="I44" s="3">
        <v>1000000</v>
      </c>
      <c r="J44" s="3">
        <v>428</v>
      </c>
      <c r="K44" s="3"/>
    </row>
    <row r="45" spans="1:11" x14ac:dyDescent="0.25">
      <c r="A45" s="3" t="s">
        <v>22</v>
      </c>
      <c r="B45" s="3" t="s">
        <v>15</v>
      </c>
      <c r="C45" s="3" t="s">
        <v>16</v>
      </c>
      <c r="D45" s="3">
        <v>13</v>
      </c>
      <c r="E45" s="3">
        <v>13</v>
      </c>
      <c r="F45" s="3">
        <v>100</v>
      </c>
      <c r="G45" s="3">
        <v>430</v>
      </c>
      <c r="H45" s="3">
        <v>1000000</v>
      </c>
      <c r="I45" s="3">
        <v>1000000</v>
      </c>
      <c r="J45" s="3">
        <v>428</v>
      </c>
      <c r="K45" s="3"/>
    </row>
    <row r="46" spans="1:11" x14ac:dyDescent="0.25">
      <c r="A46" s="3" t="s">
        <v>22</v>
      </c>
      <c r="B46" s="3" t="s">
        <v>15</v>
      </c>
      <c r="C46" s="3" t="s">
        <v>16</v>
      </c>
      <c r="D46" s="3">
        <v>14</v>
      </c>
      <c r="E46" s="3">
        <v>14</v>
      </c>
      <c r="F46" s="3">
        <v>100</v>
      </c>
      <c r="G46" s="3">
        <v>430</v>
      </c>
      <c r="H46" s="3">
        <v>1000000</v>
      </c>
      <c r="I46" s="3">
        <v>1000000</v>
      </c>
      <c r="J46" s="3">
        <v>427</v>
      </c>
      <c r="K46" s="3"/>
    </row>
    <row r="47" spans="1:11" x14ac:dyDescent="0.25">
      <c r="A47" s="3" t="s">
        <v>22</v>
      </c>
      <c r="B47" s="3" t="s">
        <v>15</v>
      </c>
      <c r="C47" s="3" t="s">
        <v>16</v>
      </c>
      <c r="D47" s="3">
        <v>15</v>
      </c>
      <c r="E47" s="3">
        <v>15</v>
      </c>
      <c r="F47" s="3">
        <v>100</v>
      </c>
      <c r="G47" s="3">
        <v>430</v>
      </c>
      <c r="H47" s="3">
        <v>1000000</v>
      </c>
      <c r="I47" s="3">
        <v>1000000</v>
      </c>
      <c r="J47" s="3">
        <v>428</v>
      </c>
      <c r="K47" s="3"/>
    </row>
    <row r="48" spans="1:11" x14ac:dyDescent="0.25">
      <c r="A48" s="3" t="s">
        <v>22</v>
      </c>
      <c r="B48" s="3" t="s">
        <v>15</v>
      </c>
      <c r="C48" s="3" t="s">
        <v>16</v>
      </c>
      <c r="D48" s="3">
        <v>16</v>
      </c>
      <c r="E48" s="3">
        <v>16</v>
      </c>
      <c r="F48" s="3">
        <v>100</v>
      </c>
      <c r="G48" s="3">
        <v>430</v>
      </c>
      <c r="H48" s="3">
        <v>1000000</v>
      </c>
      <c r="I48" s="3">
        <v>1000000</v>
      </c>
      <c r="J48" s="3">
        <v>427</v>
      </c>
      <c r="K48" s="3"/>
    </row>
    <row r="49" spans="1:11" x14ac:dyDescent="0.25">
      <c r="A49" s="3" t="s">
        <v>22</v>
      </c>
      <c r="B49" s="3" t="s">
        <v>15</v>
      </c>
      <c r="C49" s="3" t="s">
        <v>16</v>
      </c>
      <c r="D49" s="3">
        <v>17</v>
      </c>
      <c r="E49" s="3">
        <v>17</v>
      </c>
      <c r="F49" s="3">
        <v>100</v>
      </c>
      <c r="G49" s="3">
        <v>430</v>
      </c>
      <c r="H49" s="3">
        <v>1000000</v>
      </c>
      <c r="I49" s="3">
        <v>1000000</v>
      </c>
      <c r="J49" s="3">
        <v>428</v>
      </c>
      <c r="K49" s="3"/>
    </row>
    <row r="50" spans="1:11" x14ac:dyDescent="0.25">
      <c r="A50" s="3" t="s">
        <v>22</v>
      </c>
      <c r="B50" s="3" t="s">
        <v>15</v>
      </c>
      <c r="C50" s="3" t="s">
        <v>16</v>
      </c>
      <c r="D50" s="3">
        <v>18</v>
      </c>
      <c r="E50" s="3">
        <v>18</v>
      </c>
      <c r="F50" s="3">
        <v>100</v>
      </c>
      <c r="G50" s="3">
        <v>430</v>
      </c>
      <c r="H50" s="3">
        <v>1000000</v>
      </c>
      <c r="I50" s="3">
        <v>1000000</v>
      </c>
      <c r="J50" s="3">
        <v>428</v>
      </c>
      <c r="K50" s="3"/>
    </row>
    <row r="51" spans="1:11" x14ac:dyDescent="0.25">
      <c r="A51" s="3" t="s">
        <v>22</v>
      </c>
      <c r="B51" s="3" t="s">
        <v>15</v>
      </c>
      <c r="C51" s="3" t="s">
        <v>16</v>
      </c>
      <c r="D51" s="3">
        <v>19</v>
      </c>
      <c r="E51" s="3">
        <v>19</v>
      </c>
      <c r="F51" s="3">
        <v>100</v>
      </c>
      <c r="G51" s="3">
        <v>430</v>
      </c>
      <c r="H51" s="3">
        <v>1000000</v>
      </c>
      <c r="I51" s="3">
        <v>1000000</v>
      </c>
      <c r="J51" s="3">
        <v>428</v>
      </c>
      <c r="K51" s="3"/>
    </row>
    <row r="52" spans="1:11" x14ac:dyDescent="0.25">
      <c r="A52" s="3" t="s">
        <v>22</v>
      </c>
      <c r="B52" s="3" t="s">
        <v>15</v>
      </c>
      <c r="C52" s="3" t="s">
        <v>16</v>
      </c>
      <c r="D52" s="3">
        <v>20</v>
      </c>
      <c r="E52" s="3">
        <v>20</v>
      </c>
      <c r="F52" s="3">
        <v>100</v>
      </c>
      <c r="G52" s="3">
        <v>430</v>
      </c>
      <c r="H52" s="3">
        <v>1000000</v>
      </c>
      <c r="I52" s="3">
        <v>1000000</v>
      </c>
      <c r="J52" s="3">
        <v>429</v>
      </c>
      <c r="K52" s="3"/>
    </row>
    <row r="53" spans="1:11" x14ac:dyDescent="0.25">
      <c r="A53" s="3" t="s">
        <v>22</v>
      </c>
      <c r="B53" s="3" t="s">
        <v>15</v>
      </c>
      <c r="C53" s="3" t="s">
        <v>16</v>
      </c>
      <c r="D53" s="3">
        <v>21</v>
      </c>
      <c r="E53" s="3">
        <v>21</v>
      </c>
      <c r="F53" s="3">
        <v>100</v>
      </c>
      <c r="G53" s="3">
        <v>430</v>
      </c>
      <c r="H53" s="3">
        <v>1000000</v>
      </c>
      <c r="I53" s="3">
        <v>1000000</v>
      </c>
      <c r="J53" s="3">
        <v>428</v>
      </c>
      <c r="K53" s="3"/>
    </row>
    <row r="54" spans="1:11" x14ac:dyDescent="0.25">
      <c r="A54" s="3" t="s">
        <v>22</v>
      </c>
      <c r="B54" s="3" t="s">
        <v>15</v>
      </c>
      <c r="C54" s="3" t="s">
        <v>16</v>
      </c>
      <c r="D54" s="3">
        <v>22</v>
      </c>
      <c r="E54" s="3">
        <v>22</v>
      </c>
      <c r="F54" s="3">
        <v>100</v>
      </c>
      <c r="G54" s="3">
        <v>430</v>
      </c>
      <c r="H54" s="3">
        <v>1000000</v>
      </c>
      <c r="I54" s="3">
        <v>1000000</v>
      </c>
      <c r="J54" s="3">
        <v>427</v>
      </c>
      <c r="K54" s="3"/>
    </row>
    <row r="55" spans="1:11" x14ac:dyDescent="0.25">
      <c r="A55" s="3" t="s">
        <v>22</v>
      </c>
      <c r="B55" s="3" t="s">
        <v>15</v>
      </c>
      <c r="C55" s="3" t="s">
        <v>16</v>
      </c>
      <c r="D55" s="3">
        <v>23</v>
      </c>
      <c r="E55" s="3">
        <v>23</v>
      </c>
      <c r="F55" s="3">
        <v>100</v>
      </c>
      <c r="G55" s="3">
        <v>430</v>
      </c>
      <c r="H55" s="3">
        <v>1000000</v>
      </c>
      <c r="I55" s="3">
        <v>1000000</v>
      </c>
      <c r="J55" s="3">
        <v>427</v>
      </c>
      <c r="K55" s="3"/>
    </row>
    <row r="56" spans="1:11" x14ac:dyDescent="0.25">
      <c r="A56" s="3" t="s">
        <v>22</v>
      </c>
      <c r="B56" s="3" t="s">
        <v>15</v>
      </c>
      <c r="C56" s="3" t="s">
        <v>16</v>
      </c>
      <c r="D56" s="3">
        <v>24</v>
      </c>
      <c r="E56" s="3">
        <v>24</v>
      </c>
      <c r="F56" s="3">
        <v>100</v>
      </c>
      <c r="G56" s="3">
        <v>430</v>
      </c>
      <c r="H56" s="3">
        <v>1000000</v>
      </c>
      <c r="I56" s="3">
        <v>1000000</v>
      </c>
      <c r="J56" s="3">
        <v>428</v>
      </c>
      <c r="K56" s="3"/>
    </row>
    <row r="57" spans="1:11" x14ac:dyDescent="0.25">
      <c r="A57" s="3" t="s">
        <v>22</v>
      </c>
      <c r="B57" s="3" t="s">
        <v>15</v>
      </c>
      <c r="C57" s="3" t="s">
        <v>16</v>
      </c>
      <c r="D57" s="3">
        <v>25</v>
      </c>
      <c r="E57" s="3">
        <v>25</v>
      </c>
      <c r="F57" s="3">
        <v>100</v>
      </c>
      <c r="G57" s="3">
        <v>430</v>
      </c>
      <c r="H57" s="3">
        <v>1000000</v>
      </c>
      <c r="I57" s="3">
        <v>1000000</v>
      </c>
      <c r="J57" s="3">
        <v>427</v>
      </c>
      <c r="K57" s="3"/>
    </row>
    <row r="58" spans="1:11" x14ac:dyDescent="0.25">
      <c r="A58" s="3" t="s">
        <v>22</v>
      </c>
      <c r="B58" s="3" t="s">
        <v>15</v>
      </c>
      <c r="C58" s="3" t="s">
        <v>16</v>
      </c>
      <c r="D58" s="3">
        <v>26</v>
      </c>
      <c r="E58" s="3">
        <v>26</v>
      </c>
      <c r="F58" s="3">
        <v>100</v>
      </c>
      <c r="G58" s="3">
        <v>430</v>
      </c>
      <c r="H58" s="3">
        <v>1000000</v>
      </c>
      <c r="I58" s="3">
        <v>1000000</v>
      </c>
      <c r="J58" s="3">
        <v>428</v>
      </c>
      <c r="K58" s="3"/>
    </row>
    <row r="59" spans="1:11" x14ac:dyDescent="0.25">
      <c r="A59" s="3" t="s">
        <v>22</v>
      </c>
      <c r="B59" s="3" t="s">
        <v>15</v>
      </c>
      <c r="C59" s="3" t="s">
        <v>16</v>
      </c>
      <c r="D59" s="3">
        <v>27</v>
      </c>
      <c r="E59" s="3">
        <v>27</v>
      </c>
      <c r="F59" s="3">
        <v>100</v>
      </c>
      <c r="G59" s="3">
        <v>430</v>
      </c>
      <c r="H59" s="3">
        <v>1000000</v>
      </c>
      <c r="I59" s="3">
        <v>1000000</v>
      </c>
      <c r="J59" s="3">
        <v>427</v>
      </c>
      <c r="K59" s="3"/>
    </row>
    <row r="60" spans="1:11" x14ac:dyDescent="0.25">
      <c r="A60" s="3" t="s">
        <v>22</v>
      </c>
      <c r="B60" s="3" t="s">
        <v>15</v>
      </c>
      <c r="C60" s="3" t="s">
        <v>16</v>
      </c>
      <c r="D60" s="3">
        <v>28</v>
      </c>
      <c r="E60" s="3">
        <v>28</v>
      </c>
      <c r="F60" s="3">
        <v>100</v>
      </c>
      <c r="G60" s="3">
        <v>430</v>
      </c>
      <c r="H60" s="3">
        <v>1000000</v>
      </c>
      <c r="I60" s="3">
        <v>1000000</v>
      </c>
      <c r="J60" s="3">
        <v>427</v>
      </c>
      <c r="K60" s="3"/>
    </row>
    <row r="61" spans="1:11" x14ac:dyDescent="0.25">
      <c r="A61" s="3" t="s">
        <v>22</v>
      </c>
      <c r="B61" s="3" t="s">
        <v>15</v>
      </c>
      <c r="C61" s="3" t="s">
        <v>16</v>
      </c>
      <c r="D61" s="3">
        <v>29</v>
      </c>
      <c r="E61" s="3">
        <v>29</v>
      </c>
      <c r="F61" s="3">
        <v>100</v>
      </c>
      <c r="G61" s="3">
        <v>430</v>
      </c>
      <c r="H61" s="3">
        <v>1000000</v>
      </c>
      <c r="I61" s="3">
        <v>1000000</v>
      </c>
      <c r="J61" s="3">
        <v>427</v>
      </c>
      <c r="K61" s="3"/>
    </row>
    <row r="62" spans="1:11" x14ac:dyDescent="0.25">
      <c r="A62" s="2" t="s">
        <v>22</v>
      </c>
      <c r="B62" s="2" t="s">
        <v>17</v>
      </c>
      <c r="C62" s="2" t="s">
        <v>18</v>
      </c>
      <c r="D62" s="2">
        <v>0</v>
      </c>
      <c r="E62" s="2">
        <v>0</v>
      </c>
      <c r="F62" s="2">
        <v>250</v>
      </c>
      <c r="G62" s="2">
        <v>1065</v>
      </c>
      <c r="H62" s="2">
        <v>1000000</v>
      </c>
      <c r="I62" s="2">
        <v>1000000</v>
      </c>
      <c r="J62" s="2">
        <v>1054</v>
      </c>
      <c r="K62" s="2"/>
    </row>
    <row r="63" spans="1:11" x14ac:dyDescent="0.25">
      <c r="A63" s="2" t="s">
        <v>22</v>
      </c>
      <c r="B63" s="2" t="s">
        <v>17</v>
      </c>
      <c r="C63" s="2" t="s">
        <v>18</v>
      </c>
      <c r="D63" s="2">
        <v>1</v>
      </c>
      <c r="E63" s="2">
        <v>1</v>
      </c>
      <c r="F63" s="2">
        <v>250</v>
      </c>
      <c r="G63" s="2">
        <v>1065</v>
      </c>
      <c r="H63" s="2">
        <v>1000000</v>
      </c>
      <c r="I63" s="2">
        <v>1000000</v>
      </c>
      <c r="J63" s="2">
        <v>1055</v>
      </c>
      <c r="K63" s="2"/>
    </row>
    <row r="64" spans="1:11" x14ac:dyDescent="0.25">
      <c r="A64" s="2" t="s">
        <v>22</v>
      </c>
      <c r="B64" s="2" t="s">
        <v>17</v>
      </c>
      <c r="C64" s="2" t="s">
        <v>18</v>
      </c>
      <c r="D64" s="2">
        <v>2</v>
      </c>
      <c r="E64" s="2">
        <v>2</v>
      </c>
      <c r="F64" s="2">
        <v>250</v>
      </c>
      <c r="G64" s="2">
        <v>1065</v>
      </c>
      <c r="H64" s="2">
        <v>1000000</v>
      </c>
      <c r="I64" s="2">
        <v>1000000</v>
      </c>
      <c r="J64" s="2">
        <v>1054</v>
      </c>
      <c r="K64" s="2"/>
    </row>
    <row r="65" spans="1:11" x14ac:dyDescent="0.25">
      <c r="A65" s="2" t="s">
        <v>22</v>
      </c>
      <c r="B65" s="2" t="s">
        <v>17</v>
      </c>
      <c r="C65" s="2" t="s">
        <v>18</v>
      </c>
      <c r="D65" s="2">
        <v>3</v>
      </c>
      <c r="E65" s="2">
        <v>3</v>
      </c>
      <c r="F65" s="2">
        <v>250</v>
      </c>
      <c r="G65" s="2">
        <v>1065</v>
      </c>
      <c r="H65" s="2">
        <v>1000000</v>
      </c>
      <c r="I65" s="2">
        <v>1000000</v>
      </c>
      <c r="J65" s="2">
        <v>1055</v>
      </c>
      <c r="K65" s="2"/>
    </row>
    <row r="66" spans="1:11" x14ac:dyDescent="0.25">
      <c r="A66" s="2" t="s">
        <v>22</v>
      </c>
      <c r="B66" s="2" t="s">
        <v>17</v>
      </c>
      <c r="C66" s="2" t="s">
        <v>18</v>
      </c>
      <c r="D66" s="2">
        <v>4</v>
      </c>
      <c r="E66" s="2">
        <v>4</v>
      </c>
      <c r="F66" s="2">
        <v>250</v>
      </c>
      <c r="G66" s="2">
        <v>1065</v>
      </c>
      <c r="H66" s="2">
        <v>1000000</v>
      </c>
      <c r="I66" s="2">
        <v>1000000</v>
      </c>
      <c r="J66" s="2">
        <v>1054</v>
      </c>
      <c r="K66" s="2"/>
    </row>
    <row r="67" spans="1:11" x14ac:dyDescent="0.25">
      <c r="A67" s="2" t="s">
        <v>22</v>
      </c>
      <c r="B67" s="2" t="s">
        <v>17</v>
      </c>
      <c r="C67" s="2" t="s">
        <v>18</v>
      </c>
      <c r="D67" s="2">
        <v>5</v>
      </c>
      <c r="E67" s="2">
        <v>5</v>
      </c>
      <c r="F67" s="2">
        <v>250</v>
      </c>
      <c r="G67" s="2">
        <v>1065</v>
      </c>
      <c r="H67" s="2">
        <v>1000000</v>
      </c>
      <c r="I67" s="2">
        <v>1000000</v>
      </c>
      <c r="J67" s="2">
        <v>1056</v>
      </c>
      <c r="K67" s="2"/>
    </row>
    <row r="68" spans="1:11" x14ac:dyDescent="0.25">
      <c r="A68" s="2" t="s">
        <v>22</v>
      </c>
      <c r="B68" s="2" t="s">
        <v>17</v>
      </c>
      <c r="C68" s="2" t="s">
        <v>18</v>
      </c>
      <c r="D68" s="2">
        <v>6</v>
      </c>
      <c r="E68" s="2">
        <v>6</v>
      </c>
      <c r="F68" s="2">
        <v>250</v>
      </c>
      <c r="G68" s="2">
        <v>1065</v>
      </c>
      <c r="H68" s="2">
        <v>1000000</v>
      </c>
      <c r="I68" s="2">
        <v>1000000</v>
      </c>
      <c r="J68" s="2">
        <v>1055</v>
      </c>
      <c r="K68" s="2"/>
    </row>
    <row r="69" spans="1:11" x14ac:dyDescent="0.25">
      <c r="A69" s="2" t="s">
        <v>22</v>
      </c>
      <c r="B69" s="2" t="s">
        <v>17</v>
      </c>
      <c r="C69" s="2" t="s">
        <v>18</v>
      </c>
      <c r="D69" s="2">
        <v>7</v>
      </c>
      <c r="E69" s="2">
        <v>7</v>
      </c>
      <c r="F69" s="2">
        <v>250</v>
      </c>
      <c r="G69" s="2">
        <v>1065</v>
      </c>
      <c r="H69" s="2">
        <v>1000000</v>
      </c>
      <c r="I69" s="2">
        <v>1000000</v>
      </c>
      <c r="J69" s="2">
        <v>1053</v>
      </c>
      <c r="K69" s="2"/>
    </row>
    <row r="70" spans="1:11" x14ac:dyDescent="0.25">
      <c r="A70" s="2" t="s">
        <v>22</v>
      </c>
      <c r="B70" s="2" t="s">
        <v>17</v>
      </c>
      <c r="C70" s="2" t="s">
        <v>18</v>
      </c>
      <c r="D70" s="2">
        <v>8</v>
      </c>
      <c r="E70" s="2">
        <v>8</v>
      </c>
      <c r="F70" s="2">
        <v>250</v>
      </c>
      <c r="G70" s="2">
        <v>1065</v>
      </c>
      <c r="H70" s="2">
        <v>1000000</v>
      </c>
      <c r="I70" s="2">
        <v>1000000</v>
      </c>
      <c r="J70" s="2">
        <v>1055</v>
      </c>
      <c r="K70" s="2"/>
    </row>
    <row r="71" spans="1:11" x14ac:dyDescent="0.25">
      <c r="A71" s="2" t="s">
        <v>22</v>
      </c>
      <c r="B71" s="2" t="s">
        <v>17</v>
      </c>
      <c r="C71" s="2" t="s">
        <v>18</v>
      </c>
      <c r="D71" s="2">
        <v>9</v>
      </c>
      <c r="E71" s="2">
        <v>9</v>
      </c>
      <c r="F71" s="2">
        <v>250</v>
      </c>
      <c r="G71" s="2">
        <v>1065</v>
      </c>
      <c r="H71" s="2">
        <v>1000000</v>
      </c>
      <c r="I71" s="2">
        <v>1000000</v>
      </c>
      <c r="J71" s="2">
        <v>1054</v>
      </c>
      <c r="K71" s="2"/>
    </row>
    <row r="72" spans="1:11" x14ac:dyDescent="0.25">
      <c r="A72" s="2" t="s">
        <v>22</v>
      </c>
      <c r="B72" s="2" t="s">
        <v>17</v>
      </c>
      <c r="C72" s="2" t="s">
        <v>18</v>
      </c>
      <c r="D72" s="2">
        <v>10</v>
      </c>
      <c r="E72" s="2">
        <v>10</v>
      </c>
      <c r="F72" s="2">
        <v>250</v>
      </c>
      <c r="G72" s="2">
        <v>1065</v>
      </c>
      <c r="H72" s="2">
        <v>1000000</v>
      </c>
      <c r="I72" s="2">
        <v>1000000</v>
      </c>
      <c r="J72" s="2">
        <v>1053</v>
      </c>
      <c r="K72" s="2"/>
    </row>
    <row r="73" spans="1:11" x14ac:dyDescent="0.25">
      <c r="A73" s="2" t="s">
        <v>22</v>
      </c>
      <c r="B73" s="2" t="s">
        <v>17</v>
      </c>
      <c r="C73" s="2" t="s">
        <v>18</v>
      </c>
      <c r="D73" s="2">
        <v>11</v>
      </c>
      <c r="E73" s="2">
        <v>11</v>
      </c>
      <c r="F73" s="2">
        <v>250</v>
      </c>
      <c r="G73" s="2">
        <v>1065</v>
      </c>
      <c r="H73" s="2">
        <v>1000000</v>
      </c>
      <c r="I73" s="2">
        <v>1000000</v>
      </c>
      <c r="J73" s="2">
        <v>1054</v>
      </c>
      <c r="K73" s="2"/>
    </row>
    <row r="74" spans="1:11" x14ac:dyDescent="0.25">
      <c r="A74" s="2" t="s">
        <v>22</v>
      </c>
      <c r="B74" s="2" t="s">
        <v>17</v>
      </c>
      <c r="C74" s="2" t="s">
        <v>18</v>
      </c>
      <c r="D74" s="2">
        <v>12</v>
      </c>
      <c r="E74" s="2">
        <v>12</v>
      </c>
      <c r="F74" s="2">
        <v>250</v>
      </c>
      <c r="G74" s="2">
        <v>1065</v>
      </c>
      <c r="H74" s="2">
        <v>1000000</v>
      </c>
      <c r="I74" s="2">
        <v>1000000</v>
      </c>
      <c r="J74" s="2">
        <v>1054</v>
      </c>
      <c r="K74" s="2"/>
    </row>
    <row r="75" spans="1:11" x14ac:dyDescent="0.25">
      <c r="A75" s="2" t="s">
        <v>22</v>
      </c>
      <c r="B75" s="2" t="s">
        <v>17</v>
      </c>
      <c r="C75" s="2" t="s">
        <v>18</v>
      </c>
      <c r="D75" s="2">
        <v>13</v>
      </c>
      <c r="E75" s="2">
        <v>13</v>
      </c>
      <c r="F75" s="2">
        <v>250</v>
      </c>
      <c r="G75" s="2">
        <v>1065</v>
      </c>
      <c r="H75" s="2">
        <v>1000000</v>
      </c>
      <c r="I75" s="2">
        <v>1000000</v>
      </c>
      <c r="J75" s="2">
        <v>1052</v>
      </c>
      <c r="K75" s="2"/>
    </row>
    <row r="76" spans="1:11" x14ac:dyDescent="0.25">
      <c r="A76" s="2" t="s">
        <v>22</v>
      </c>
      <c r="B76" s="2" t="s">
        <v>17</v>
      </c>
      <c r="C76" s="2" t="s">
        <v>18</v>
      </c>
      <c r="D76" s="2">
        <v>14</v>
      </c>
      <c r="E76" s="2">
        <v>14</v>
      </c>
      <c r="F76" s="2">
        <v>250</v>
      </c>
      <c r="G76" s="2">
        <v>1065</v>
      </c>
      <c r="H76" s="2">
        <v>1000000</v>
      </c>
      <c r="I76" s="2">
        <v>1000000</v>
      </c>
      <c r="J76" s="2">
        <v>1056</v>
      </c>
      <c r="K76" s="2"/>
    </row>
    <row r="77" spans="1:11" x14ac:dyDescent="0.25">
      <c r="A77" s="2" t="s">
        <v>22</v>
      </c>
      <c r="B77" s="2" t="s">
        <v>17</v>
      </c>
      <c r="C77" s="2" t="s">
        <v>18</v>
      </c>
      <c r="D77" s="2">
        <v>15</v>
      </c>
      <c r="E77" s="2">
        <v>15</v>
      </c>
      <c r="F77" s="2">
        <v>250</v>
      </c>
      <c r="G77" s="2">
        <v>1065</v>
      </c>
      <c r="H77" s="2">
        <v>1000000</v>
      </c>
      <c r="I77" s="2">
        <v>1000000</v>
      </c>
      <c r="J77" s="2">
        <v>1056</v>
      </c>
      <c r="K77" s="2"/>
    </row>
    <row r="78" spans="1:11" x14ac:dyDescent="0.25">
      <c r="A78" s="2" t="s">
        <v>22</v>
      </c>
      <c r="B78" s="2" t="s">
        <v>17</v>
      </c>
      <c r="C78" s="2" t="s">
        <v>18</v>
      </c>
      <c r="D78" s="2">
        <v>16</v>
      </c>
      <c r="E78" s="2">
        <v>16</v>
      </c>
      <c r="F78" s="2">
        <v>250</v>
      </c>
      <c r="G78" s="2">
        <v>1065</v>
      </c>
      <c r="H78" s="2">
        <v>1000000</v>
      </c>
      <c r="I78" s="2">
        <v>1000000</v>
      </c>
      <c r="J78" s="2">
        <v>1054</v>
      </c>
      <c r="K78" s="2"/>
    </row>
    <row r="79" spans="1:11" x14ac:dyDescent="0.25">
      <c r="A79" s="2" t="s">
        <v>22</v>
      </c>
      <c r="B79" s="2" t="s">
        <v>17</v>
      </c>
      <c r="C79" s="2" t="s">
        <v>18</v>
      </c>
      <c r="D79" s="2">
        <v>17</v>
      </c>
      <c r="E79" s="2">
        <v>17</v>
      </c>
      <c r="F79" s="2">
        <v>250</v>
      </c>
      <c r="G79" s="2">
        <v>1065</v>
      </c>
      <c r="H79" s="2">
        <v>1000000</v>
      </c>
      <c r="I79" s="2">
        <v>1000000</v>
      </c>
      <c r="J79" s="2">
        <v>1055</v>
      </c>
      <c r="K79" s="2"/>
    </row>
    <row r="80" spans="1:11" x14ac:dyDescent="0.25">
      <c r="A80" s="2" t="s">
        <v>22</v>
      </c>
      <c r="B80" s="2" t="s">
        <v>17</v>
      </c>
      <c r="C80" s="2" t="s">
        <v>18</v>
      </c>
      <c r="D80" s="2">
        <v>18</v>
      </c>
      <c r="E80" s="2">
        <v>18</v>
      </c>
      <c r="F80" s="2">
        <v>250</v>
      </c>
      <c r="G80" s="2">
        <v>1065</v>
      </c>
      <c r="H80" s="2">
        <v>1000000</v>
      </c>
      <c r="I80" s="2">
        <v>1000000</v>
      </c>
      <c r="J80" s="2">
        <v>1056</v>
      </c>
      <c r="K80" s="2"/>
    </row>
    <row r="81" spans="1:11" x14ac:dyDescent="0.25">
      <c r="A81" s="2" t="s">
        <v>22</v>
      </c>
      <c r="B81" s="2" t="s">
        <v>17</v>
      </c>
      <c r="C81" s="2" t="s">
        <v>18</v>
      </c>
      <c r="D81" s="2">
        <v>19</v>
      </c>
      <c r="E81" s="2">
        <v>19</v>
      </c>
      <c r="F81" s="2">
        <v>250</v>
      </c>
      <c r="G81" s="2">
        <v>1065</v>
      </c>
      <c r="H81" s="2">
        <v>1000000</v>
      </c>
      <c r="I81" s="2">
        <v>1000000</v>
      </c>
      <c r="J81" s="2">
        <v>1052</v>
      </c>
      <c r="K81" s="2"/>
    </row>
    <row r="82" spans="1:11" x14ac:dyDescent="0.25">
      <c r="A82" s="2" t="s">
        <v>22</v>
      </c>
      <c r="B82" s="2" t="s">
        <v>17</v>
      </c>
      <c r="C82" s="2" t="s">
        <v>18</v>
      </c>
      <c r="D82" s="2">
        <v>20</v>
      </c>
      <c r="E82" s="2">
        <v>20</v>
      </c>
      <c r="F82" s="2">
        <v>250</v>
      </c>
      <c r="G82" s="2">
        <v>1065</v>
      </c>
      <c r="H82" s="2">
        <v>1000000</v>
      </c>
      <c r="I82" s="2">
        <v>1000000</v>
      </c>
      <c r="J82" s="2">
        <v>1056</v>
      </c>
      <c r="K82" s="2"/>
    </row>
    <row r="83" spans="1:11" x14ac:dyDescent="0.25">
      <c r="A83" s="2" t="s">
        <v>22</v>
      </c>
      <c r="B83" s="2" t="s">
        <v>17</v>
      </c>
      <c r="C83" s="2" t="s">
        <v>18</v>
      </c>
      <c r="D83" s="2">
        <v>21</v>
      </c>
      <c r="E83" s="2">
        <v>21</v>
      </c>
      <c r="F83" s="2">
        <v>250</v>
      </c>
      <c r="G83" s="2">
        <v>1065</v>
      </c>
      <c r="H83" s="2">
        <v>1000000</v>
      </c>
      <c r="I83" s="2">
        <v>1000000</v>
      </c>
      <c r="J83" s="2">
        <v>1054</v>
      </c>
      <c r="K83" s="2"/>
    </row>
    <row r="84" spans="1:11" x14ac:dyDescent="0.25">
      <c r="A84" s="2" t="s">
        <v>22</v>
      </c>
      <c r="B84" s="2" t="s">
        <v>17</v>
      </c>
      <c r="C84" s="2" t="s">
        <v>18</v>
      </c>
      <c r="D84" s="2">
        <v>22</v>
      </c>
      <c r="E84" s="2">
        <v>22</v>
      </c>
      <c r="F84" s="2">
        <v>250</v>
      </c>
      <c r="G84" s="2">
        <v>1065</v>
      </c>
      <c r="H84" s="2">
        <v>1000000</v>
      </c>
      <c r="I84" s="2">
        <v>1000000</v>
      </c>
      <c r="J84" s="2">
        <v>1054</v>
      </c>
      <c r="K84" s="2"/>
    </row>
    <row r="85" spans="1:11" x14ac:dyDescent="0.25">
      <c r="A85" s="2" t="s">
        <v>22</v>
      </c>
      <c r="B85" s="2" t="s">
        <v>17</v>
      </c>
      <c r="C85" s="2" t="s">
        <v>18</v>
      </c>
      <c r="D85" s="2">
        <v>23</v>
      </c>
      <c r="E85" s="2">
        <v>23</v>
      </c>
      <c r="F85" s="2">
        <v>250</v>
      </c>
      <c r="G85" s="2">
        <v>1065</v>
      </c>
      <c r="H85" s="2">
        <v>1000000</v>
      </c>
      <c r="I85" s="2">
        <v>1000000</v>
      </c>
      <c r="J85" s="2">
        <v>1053</v>
      </c>
      <c r="K85" s="2"/>
    </row>
    <row r="86" spans="1:11" x14ac:dyDescent="0.25">
      <c r="A86" s="2" t="s">
        <v>22</v>
      </c>
      <c r="B86" s="2" t="s">
        <v>17</v>
      </c>
      <c r="C86" s="2" t="s">
        <v>18</v>
      </c>
      <c r="D86" s="2">
        <v>24</v>
      </c>
      <c r="E86" s="2">
        <v>24</v>
      </c>
      <c r="F86" s="2">
        <v>250</v>
      </c>
      <c r="G86" s="2">
        <v>1065</v>
      </c>
      <c r="H86" s="2">
        <v>1000000</v>
      </c>
      <c r="I86" s="2">
        <v>1000000</v>
      </c>
      <c r="J86" s="2">
        <v>1054</v>
      </c>
      <c r="K86" s="2"/>
    </row>
    <row r="87" spans="1:11" x14ac:dyDescent="0.25">
      <c r="A87" s="2" t="s">
        <v>22</v>
      </c>
      <c r="B87" s="2" t="s">
        <v>17</v>
      </c>
      <c r="C87" s="2" t="s">
        <v>18</v>
      </c>
      <c r="D87" s="2">
        <v>25</v>
      </c>
      <c r="E87" s="2">
        <v>25</v>
      </c>
      <c r="F87" s="2">
        <v>250</v>
      </c>
      <c r="G87" s="2">
        <v>1065</v>
      </c>
      <c r="H87" s="2">
        <v>1000000</v>
      </c>
      <c r="I87" s="2">
        <v>1000000</v>
      </c>
      <c r="J87" s="2">
        <v>1052</v>
      </c>
      <c r="K87" s="2"/>
    </row>
    <row r="88" spans="1:11" x14ac:dyDescent="0.25">
      <c r="A88" s="2" t="s">
        <v>22</v>
      </c>
      <c r="B88" s="2" t="s">
        <v>17</v>
      </c>
      <c r="C88" s="2" t="s">
        <v>18</v>
      </c>
      <c r="D88" s="2">
        <v>26</v>
      </c>
      <c r="E88" s="2">
        <v>26</v>
      </c>
      <c r="F88" s="2">
        <v>250</v>
      </c>
      <c r="G88" s="2">
        <v>1065</v>
      </c>
      <c r="H88" s="2">
        <v>1000000</v>
      </c>
      <c r="I88" s="2">
        <v>1000000</v>
      </c>
      <c r="J88" s="2">
        <v>1055</v>
      </c>
      <c r="K88" s="2"/>
    </row>
    <row r="89" spans="1:11" x14ac:dyDescent="0.25">
      <c r="A89" s="2" t="s">
        <v>22</v>
      </c>
      <c r="B89" s="2" t="s">
        <v>17</v>
      </c>
      <c r="C89" s="2" t="s">
        <v>18</v>
      </c>
      <c r="D89" s="2">
        <v>27</v>
      </c>
      <c r="E89" s="2">
        <v>27</v>
      </c>
      <c r="F89" s="2">
        <v>250</v>
      </c>
      <c r="G89" s="2">
        <v>1065</v>
      </c>
      <c r="H89" s="2">
        <v>1000000</v>
      </c>
      <c r="I89" s="2">
        <v>1000000</v>
      </c>
      <c r="J89" s="2">
        <v>1052</v>
      </c>
      <c r="K89" s="2"/>
    </row>
    <row r="90" spans="1:11" x14ac:dyDescent="0.25">
      <c r="A90" s="2" t="s">
        <v>22</v>
      </c>
      <c r="B90" s="2" t="s">
        <v>17</v>
      </c>
      <c r="C90" s="2" t="s">
        <v>18</v>
      </c>
      <c r="D90" s="2">
        <v>28</v>
      </c>
      <c r="E90" s="2">
        <v>28</v>
      </c>
      <c r="F90" s="2">
        <v>250</v>
      </c>
      <c r="G90" s="2">
        <v>1065</v>
      </c>
      <c r="H90" s="2">
        <v>1000000</v>
      </c>
      <c r="I90" s="2">
        <v>1000000</v>
      </c>
      <c r="J90" s="2">
        <v>1053</v>
      </c>
      <c r="K90" s="2"/>
    </row>
    <row r="91" spans="1:11" x14ac:dyDescent="0.25">
      <c r="A91" s="2" t="s">
        <v>22</v>
      </c>
      <c r="B91" s="2" t="s">
        <v>17</v>
      </c>
      <c r="C91" s="2" t="s">
        <v>18</v>
      </c>
      <c r="D91" s="2">
        <v>29</v>
      </c>
      <c r="E91" s="2">
        <v>29</v>
      </c>
      <c r="F91" s="2">
        <v>250</v>
      </c>
      <c r="G91" s="2">
        <v>1065</v>
      </c>
      <c r="H91" s="2">
        <v>1000000</v>
      </c>
      <c r="I91" s="2">
        <v>1000000</v>
      </c>
      <c r="J91" s="2">
        <v>1055</v>
      </c>
      <c r="K9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4FD70-FC05-4EE7-A508-AEF64124AC4A}">
  <dimension ref="A1:K91"/>
  <sheetViews>
    <sheetView workbookViewId="0">
      <selection activeCell="I14" sqref="I14"/>
    </sheetView>
  </sheetViews>
  <sheetFormatPr defaultRowHeight="15" x14ac:dyDescent="0.25"/>
  <cols>
    <col min="2" max="2" width="20.5703125" customWidth="1"/>
    <col min="3" max="3" width="19.28515625" customWidth="1"/>
    <col min="4" max="4" width="16.42578125" customWidth="1"/>
    <col min="6" max="6" width="13.5703125" customWidth="1"/>
    <col min="7" max="7" width="12.28515625" customWidth="1"/>
    <col min="8" max="8" width="16.7109375" customWidth="1"/>
    <col min="9" max="9" width="16.85546875" customWidth="1"/>
    <col min="10" max="10" width="19.85546875" customWidth="1"/>
  </cols>
  <sheetData>
    <row r="1" spans="1:1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10</v>
      </c>
      <c r="I1" s="1" t="s">
        <v>11</v>
      </c>
      <c r="J1" s="1" t="s">
        <v>12</v>
      </c>
      <c r="K1" s="1" t="s">
        <v>20</v>
      </c>
    </row>
    <row r="2" spans="1:11" x14ac:dyDescent="0.25">
      <c r="A2" s="2" t="s">
        <v>23</v>
      </c>
      <c r="B2" s="2" t="s">
        <v>13</v>
      </c>
      <c r="C2" s="2" t="s">
        <v>14</v>
      </c>
      <c r="D2" s="2">
        <v>0</v>
      </c>
      <c r="E2" s="2">
        <v>0</v>
      </c>
      <c r="F2" s="2">
        <v>20</v>
      </c>
      <c r="G2" s="2">
        <v>91</v>
      </c>
      <c r="H2" s="2">
        <v>1000000</v>
      </c>
      <c r="I2" s="2">
        <v>310</v>
      </c>
      <c r="J2" s="2">
        <v>91</v>
      </c>
      <c r="K2" s="2">
        <v>3</v>
      </c>
    </row>
    <row r="3" spans="1:11" x14ac:dyDescent="0.25">
      <c r="A3" s="2" t="s">
        <v>23</v>
      </c>
      <c r="B3" s="2" t="s">
        <v>13</v>
      </c>
      <c r="C3" s="2" t="s">
        <v>14</v>
      </c>
      <c r="D3" s="2">
        <v>1</v>
      </c>
      <c r="E3" s="2">
        <v>1</v>
      </c>
      <c r="F3" s="2">
        <v>20</v>
      </c>
      <c r="G3" s="2">
        <v>91</v>
      </c>
      <c r="H3" s="2">
        <v>1000000</v>
      </c>
      <c r="I3" s="2">
        <v>1409</v>
      </c>
      <c r="J3" s="2">
        <v>90</v>
      </c>
      <c r="K3" s="2">
        <v>3</v>
      </c>
    </row>
    <row r="4" spans="1:11" x14ac:dyDescent="0.25">
      <c r="A4" s="2" t="s">
        <v>23</v>
      </c>
      <c r="B4" s="2" t="s">
        <v>13</v>
      </c>
      <c r="C4" s="2" t="s">
        <v>14</v>
      </c>
      <c r="D4" s="2">
        <v>2</v>
      </c>
      <c r="E4" s="2">
        <v>2</v>
      </c>
      <c r="F4" s="2">
        <v>20</v>
      </c>
      <c r="G4" s="2">
        <v>91</v>
      </c>
      <c r="H4" s="2">
        <v>1000000</v>
      </c>
      <c r="I4" s="2">
        <v>1622</v>
      </c>
      <c r="J4" s="2">
        <v>89</v>
      </c>
      <c r="K4" s="2">
        <v>3</v>
      </c>
    </row>
    <row r="5" spans="1:11" x14ac:dyDescent="0.25">
      <c r="A5" s="2" t="s">
        <v>23</v>
      </c>
      <c r="B5" s="2" t="s">
        <v>13</v>
      </c>
      <c r="C5" s="2" t="s">
        <v>14</v>
      </c>
      <c r="D5" s="2">
        <v>3</v>
      </c>
      <c r="E5" s="2">
        <v>3</v>
      </c>
      <c r="F5" s="2">
        <v>20</v>
      </c>
      <c r="G5" s="2">
        <v>91</v>
      </c>
      <c r="H5" s="2">
        <v>1000000</v>
      </c>
      <c r="I5" s="2">
        <v>1409</v>
      </c>
      <c r="J5" s="2">
        <v>90</v>
      </c>
      <c r="K5" s="2">
        <v>3</v>
      </c>
    </row>
    <row r="6" spans="1:11" x14ac:dyDescent="0.25">
      <c r="A6" s="2" t="s">
        <v>23</v>
      </c>
      <c r="B6" s="2" t="s">
        <v>13</v>
      </c>
      <c r="C6" s="2" t="s">
        <v>14</v>
      </c>
      <c r="D6" s="2">
        <v>4</v>
      </c>
      <c r="E6" s="2">
        <v>4</v>
      </c>
      <c r="F6" s="2">
        <v>20</v>
      </c>
      <c r="G6" s="2">
        <v>91</v>
      </c>
      <c r="H6" s="2">
        <v>1000000</v>
      </c>
      <c r="I6" s="2">
        <v>1416</v>
      </c>
      <c r="J6" s="2">
        <v>90</v>
      </c>
      <c r="K6" s="2">
        <v>3</v>
      </c>
    </row>
    <row r="7" spans="1:11" x14ac:dyDescent="0.25">
      <c r="A7" s="2" t="s">
        <v>23</v>
      </c>
      <c r="B7" s="2" t="s">
        <v>13</v>
      </c>
      <c r="C7" s="2" t="s">
        <v>14</v>
      </c>
      <c r="D7" s="2">
        <v>5</v>
      </c>
      <c r="E7" s="2">
        <v>5</v>
      </c>
      <c r="F7" s="2">
        <v>20</v>
      </c>
      <c r="G7" s="2">
        <v>91</v>
      </c>
      <c r="H7" s="2">
        <v>1000000</v>
      </c>
      <c r="I7" s="2">
        <v>1396</v>
      </c>
      <c r="J7" s="2">
        <v>90</v>
      </c>
      <c r="K7" s="2">
        <v>3</v>
      </c>
    </row>
    <row r="8" spans="1:11" x14ac:dyDescent="0.25">
      <c r="A8" s="2" t="s">
        <v>23</v>
      </c>
      <c r="B8" s="2" t="s">
        <v>13</v>
      </c>
      <c r="C8" s="2" t="s">
        <v>14</v>
      </c>
      <c r="D8" s="2">
        <v>6</v>
      </c>
      <c r="E8" s="2">
        <v>6</v>
      </c>
      <c r="F8" s="2">
        <v>20</v>
      </c>
      <c r="G8" s="2">
        <v>91</v>
      </c>
      <c r="H8" s="2">
        <v>1000000</v>
      </c>
      <c r="I8" s="2">
        <v>237</v>
      </c>
      <c r="J8" s="2">
        <v>91</v>
      </c>
      <c r="K8" s="2">
        <v>3</v>
      </c>
    </row>
    <row r="9" spans="1:11" x14ac:dyDescent="0.25">
      <c r="A9" s="2" t="s">
        <v>23</v>
      </c>
      <c r="B9" s="2" t="s">
        <v>13</v>
      </c>
      <c r="C9" s="2" t="s">
        <v>14</v>
      </c>
      <c r="D9" s="2">
        <v>7</v>
      </c>
      <c r="E9" s="2">
        <v>7</v>
      </c>
      <c r="F9" s="2">
        <v>20</v>
      </c>
      <c r="G9" s="2">
        <v>91</v>
      </c>
      <c r="H9" s="2">
        <v>1000000</v>
      </c>
      <c r="I9" s="2">
        <v>821</v>
      </c>
      <c r="J9" s="2">
        <v>91</v>
      </c>
      <c r="K9" s="2">
        <v>3</v>
      </c>
    </row>
    <row r="10" spans="1:11" x14ac:dyDescent="0.25">
      <c r="A10" s="2" t="s">
        <v>23</v>
      </c>
      <c r="B10" s="2" t="s">
        <v>13</v>
      </c>
      <c r="C10" s="2" t="s">
        <v>14</v>
      </c>
      <c r="D10" s="2">
        <v>8</v>
      </c>
      <c r="E10" s="2">
        <v>8</v>
      </c>
      <c r="F10" s="2">
        <v>20</v>
      </c>
      <c r="G10" s="2">
        <v>91</v>
      </c>
      <c r="H10" s="2">
        <v>1000000</v>
      </c>
      <c r="I10" s="2">
        <v>122</v>
      </c>
      <c r="J10" s="2">
        <v>91</v>
      </c>
      <c r="K10" s="2">
        <v>3</v>
      </c>
    </row>
    <row r="11" spans="1:11" x14ac:dyDescent="0.25">
      <c r="A11" s="2" t="s">
        <v>23</v>
      </c>
      <c r="B11" s="2" t="s">
        <v>13</v>
      </c>
      <c r="C11" s="2" t="s">
        <v>14</v>
      </c>
      <c r="D11" s="2">
        <v>9</v>
      </c>
      <c r="E11" s="2">
        <v>9</v>
      </c>
      <c r="F11" s="2">
        <v>20</v>
      </c>
      <c r="G11" s="2">
        <v>91</v>
      </c>
      <c r="H11" s="2">
        <v>1000000</v>
      </c>
      <c r="I11" s="2">
        <v>1499</v>
      </c>
      <c r="J11" s="2">
        <v>91</v>
      </c>
      <c r="K11" s="2">
        <v>3</v>
      </c>
    </row>
    <row r="12" spans="1:11" x14ac:dyDescent="0.25">
      <c r="A12" s="2" t="s">
        <v>23</v>
      </c>
      <c r="B12" s="2" t="s">
        <v>13</v>
      </c>
      <c r="C12" s="2" t="s">
        <v>14</v>
      </c>
      <c r="D12" s="2">
        <v>10</v>
      </c>
      <c r="E12" s="2">
        <v>10</v>
      </c>
      <c r="F12" s="2">
        <v>20</v>
      </c>
      <c r="G12" s="2">
        <v>91</v>
      </c>
      <c r="H12" s="2">
        <v>1000000</v>
      </c>
      <c r="I12" s="2">
        <v>227</v>
      </c>
      <c r="J12" s="2">
        <v>91</v>
      </c>
      <c r="K12" s="2">
        <v>3</v>
      </c>
    </row>
    <row r="13" spans="1:11" x14ac:dyDescent="0.25">
      <c r="A13" s="2" t="s">
        <v>23</v>
      </c>
      <c r="B13" s="2" t="s">
        <v>13</v>
      </c>
      <c r="C13" s="2" t="s">
        <v>14</v>
      </c>
      <c r="D13" s="2">
        <v>11</v>
      </c>
      <c r="E13" s="2">
        <v>11</v>
      </c>
      <c r="F13" s="2">
        <v>20</v>
      </c>
      <c r="G13" s="2">
        <v>91</v>
      </c>
      <c r="H13" s="2">
        <v>1000000</v>
      </c>
      <c r="I13" s="2">
        <v>1390</v>
      </c>
      <c r="J13" s="2">
        <v>91</v>
      </c>
      <c r="K13" s="2">
        <v>3</v>
      </c>
    </row>
    <row r="14" spans="1:11" x14ac:dyDescent="0.25">
      <c r="A14" s="2" t="s">
        <v>23</v>
      </c>
      <c r="B14" s="2" t="s">
        <v>13</v>
      </c>
      <c r="C14" s="2" t="s">
        <v>14</v>
      </c>
      <c r="D14" s="2">
        <v>12</v>
      </c>
      <c r="E14" s="2">
        <v>12</v>
      </c>
      <c r="F14" s="2">
        <v>20</v>
      </c>
      <c r="G14" s="2">
        <v>91</v>
      </c>
      <c r="H14" s="2">
        <v>1000000</v>
      </c>
      <c r="I14" s="2">
        <v>190</v>
      </c>
      <c r="J14" s="2">
        <v>91</v>
      </c>
      <c r="K14" s="2">
        <v>3</v>
      </c>
    </row>
    <row r="15" spans="1:11" x14ac:dyDescent="0.25">
      <c r="A15" s="2" t="s">
        <v>23</v>
      </c>
      <c r="B15" s="2" t="s">
        <v>13</v>
      </c>
      <c r="C15" s="2" t="s">
        <v>14</v>
      </c>
      <c r="D15" s="2">
        <v>13</v>
      </c>
      <c r="E15" s="2">
        <v>13</v>
      </c>
      <c r="F15" s="2">
        <v>20</v>
      </c>
      <c r="G15" s="2">
        <v>91</v>
      </c>
      <c r="H15" s="2">
        <v>1000000</v>
      </c>
      <c r="I15" s="2">
        <v>1555</v>
      </c>
      <c r="J15" s="2">
        <v>89</v>
      </c>
      <c r="K15" s="2">
        <v>3</v>
      </c>
    </row>
    <row r="16" spans="1:11" x14ac:dyDescent="0.25">
      <c r="A16" s="2" t="s">
        <v>23</v>
      </c>
      <c r="B16" s="2" t="s">
        <v>13</v>
      </c>
      <c r="C16" s="2" t="s">
        <v>14</v>
      </c>
      <c r="D16" s="2">
        <v>14</v>
      </c>
      <c r="E16" s="2">
        <v>14</v>
      </c>
      <c r="F16" s="2">
        <v>20</v>
      </c>
      <c r="G16" s="2">
        <v>91</v>
      </c>
      <c r="H16" s="2">
        <v>1000000</v>
      </c>
      <c r="I16" s="2">
        <v>1826</v>
      </c>
      <c r="J16" s="2">
        <v>90</v>
      </c>
      <c r="K16" s="2">
        <v>3</v>
      </c>
    </row>
    <row r="17" spans="1:11" x14ac:dyDescent="0.25">
      <c r="A17" s="2" t="s">
        <v>23</v>
      </c>
      <c r="B17" s="2" t="s">
        <v>13</v>
      </c>
      <c r="C17" s="2" t="s">
        <v>14</v>
      </c>
      <c r="D17" s="2">
        <v>15</v>
      </c>
      <c r="E17" s="2">
        <v>15</v>
      </c>
      <c r="F17" s="2">
        <v>20</v>
      </c>
      <c r="G17" s="2">
        <v>91</v>
      </c>
      <c r="H17" s="2">
        <v>1000000</v>
      </c>
      <c r="I17" s="2">
        <v>105</v>
      </c>
      <c r="J17" s="2">
        <v>91</v>
      </c>
      <c r="K17" s="2">
        <v>3</v>
      </c>
    </row>
    <row r="18" spans="1:11" x14ac:dyDescent="0.25">
      <c r="A18" s="2" t="s">
        <v>23</v>
      </c>
      <c r="B18" s="2" t="s">
        <v>13</v>
      </c>
      <c r="C18" s="2" t="s">
        <v>14</v>
      </c>
      <c r="D18" s="2">
        <v>16</v>
      </c>
      <c r="E18" s="2">
        <v>16</v>
      </c>
      <c r="F18" s="2">
        <v>20</v>
      </c>
      <c r="G18" s="2">
        <v>91</v>
      </c>
      <c r="H18" s="2">
        <v>1000000</v>
      </c>
      <c r="I18" s="2">
        <v>1556</v>
      </c>
      <c r="J18" s="2">
        <v>89</v>
      </c>
      <c r="K18" s="2">
        <v>3</v>
      </c>
    </row>
    <row r="19" spans="1:11" x14ac:dyDescent="0.25">
      <c r="A19" s="2" t="s">
        <v>23</v>
      </c>
      <c r="B19" s="2" t="s">
        <v>13</v>
      </c>
      <c r="C19" s="2" t="s">
        <v>14</v>
      </c>
      <c r="D19" s="2">
        <v>17</v>
      </c>
      <c r="E19" s="2">
        <v>17</v>
      </c>
      <c r="F19" s="2">
        <v>20</v>
      </c>
      <c r="G19" s="2">
        <v>91</v>
      </c>
      <c r="H19" s="2">
        <v>1000000</v>
      </c>
      <c r="I19" s="2">
        <v>1379</v>
      </c>
      <c r="J19" s="2">
        <v>90</v>
      </c>
      <c r="K19" s="2">
        <v>3</v>
      </c>
    </row>
    <row r="20" spans="1:11" x14ac:dyDescent="0.25">
      <c r="A20" s="2" t="s">
        <v>23</v>
      </c>
      <c r="B20" s="2" t="s">
        <v>13</v>
      </c>
      <c r="C20" s="2" t="s">
        <v>14</v>
      </c>
      <c r="D20" s="2">
        <v>18</v>
      </c>
      <c r="E20" s="2">
        <v>18</v>
      </c>
      <c r="F20" s="2">
        <v>20</v>
      </c>
      <c r="G20" s="2">
        <v>91</v>
      </c>
      <c r="H20" s="2">
        <v>1000000</v>
      </c>
      <c r="I20" s="2">
        <v>1414</v>
      </c>
      <c r="J20" s="2">
        <v>90</v>
      </c>
      <c r="K20" s="2">
        <v>3</v>
      </c>
    </row>
    <row r="21" spans="1:11" x14ac:dyDescent="0.25">
      <c r="A21" s="2" t="s">
        <v>23</v>
      </c>
      <c r="B21" s="2" t="s">
        <v>13</v>
      </c>
      <c r="C21" s="2" t="s">
        <v>14</v>
      </c>
      <c r="D21" s="2">
        <v>19</v>
      </c>
      <c r="E21" s="2">
        <v>19</v>
      </c>
      <c r="F21" s="2">
        <v>20</v>
      </c>
      <c r="G21" s="2">
        <v>91</v>
      </c>
      <c r="H21" s="2">
        <v>1000000</v>
      </c>
      <c r="I21" s="2">
        <v>1560</v>
      </c>
      <c r="J21" s="2">
        <v>90</v>
      </c>
      <c r="K21" s="2">
        <v>3</v>
      </c>
    </row>
    <row r="22" spans="1:11" x14ac:dyDescent="0.25">
      <c r="A22" s="2" t="s">
        <v>23</v>
      </c>
      <c r="B22" s="2" t="s">
        <v>13</v>
      </c>
      <c r="C22" s="2" t="s">
        <v>14</v>
      </c>
      <c r="D22" s="2">
        <v>20</v>
      </c>
      <c r="E22" s="2">
        <v>20</v>
      </c>
      <c r="F22" s="2">
        <v>20</v>
      </c>
      <c r="G22" s="2">
        <v>91</v>
      </c>
      <c r="H22" s="2">
        <v>1000000</v>
      </c>
      <c r="I22" s="2">
        <v>107</v>
      </c>
      <c r="J22" s="2">
        <v>91</v>
      </c>
      <c r="K22" s="2">
        <v>3</v>
      </c>
    </row>
    <row r="23" spans="1:11" x14ac:dyDescent="0.25">
      <c r="A23" s="2" t="s">
        <v>23</v>
      </c>
      <c r="B23" s="2" t="s">
        <v>13</v>
      </c>
      <c r="C23" s="2" t="s">
        <v>14</v>
      </c>
      <c r="D23" s="2">
        <v>21</v>
      </c>
      <c r="E23" s="2">
        <v>21</v>
      </c>
      <c r="F23" s="2">
        <v>20</v>
      </c>
      <c r="G23" s="2">
        <v>91</v>
      </c>
      <c r="H23" s="2">
        <v>1000000</v>
      </c>
      <c r="I23" s="2">
        <v>2542</v>
      </c>
      <c r="J23" s="2">
        <v>90</v>
      </c>
      <c r="K23" s="2">
        <v>3</v>
      </c>
    </row>
    <row r="24" spans="1:11" x14ac:dyDescent="0.25">
      <c r="A24" s="2" t="s">
        <v>23</v>
      </c>
      <c r="B24" s="2" t="s">
        <v>13</v>
      </c>
      <c r="C24" s="2" t="s">
        <v>14</v>
      </c>
      <c r="D24" s="2">
        <v>22</v>
      </c>
      <c r="E24" s="2">
        <v>22</v>
      </c>
      <c r="F24" s="2">
        <v>20</v>
      </c>
      <c r="G24" s="2">
        <v>91</v>
      </c>
      <c r="H24" s="2">
        <v>1000000</v>
      </c>
      <c r="I24" s="2">
        <v>1880</v>
      </c>
      <c r="J24" s="2">
        <v>90</v>
      </c>
      <c r="K24" s="2">
        <v>3</v>
      </c>
    </row>
    <row r="25" spans="1:11" x14ac:dyDescent="0.25">
      <c r="A25" s="2" t="s">
        <v>23</v>
      </c>
      <c r="B25" s="2" t="s">
        <v>13</v>
      </c>
      <c r="C25" s="2" t="s">
        <v>14</v>
      </c>
      <c r="D25" s="2">
        <v>23</v>
      </c>
      <c r="E25" s="2">
        <v>23</v>
      </c>
      <c r="F25" s="2">
        <v>20</v>
      </c>
      <c r="G25" s="2">
        <v>91</v>
      </c>
      <c r="H25" s="2">
        <v>1000000</v>
      </c>
      <c r="I25" s="2">
        <v>2693</v>
      </c>
      <c r="J25" s="2">
        <v>90</v>
      </c>
      <c r="K25" s="2">
        <v>3</v>
      </c>
    </row>
    <row r="26" spans="1:11" x14ac:dyDescent="0.25">
      <c r="A26" s="2" t="s">
        <v>23</v>
      </c>
      <c r="B26" s="2" t="s">
        <v>13</v>
      </c>
      <c r="C26" s="2" t="s">
        <v>14</v>
      </c>
      <c r="D26" s="2">
        <v>24</v>
      </c>
      <c r="E26" s="2">
        <v>24</v>
      </c>
      <c r="F26" s="2">
        <v>20</v>
      </c>
      <c r="G26" s="2">
        <v>91</v>
      </c>
      <c r="H26" s="2">
        <v>1000000</v>
      </c>
      <c r="I26" s="2">
        <v>1417</v>
      </c>
      <c r="J26" s="2">
        <v>89</v>
      </c>
      <c r="K26" s="2">
        <v>3</v>
      </c>
    </row>
    <row r="27" spans="1:11" x14ac:dyDescent="0.25">
      <c r="A27" s="2" t="s">
        <v>23</v>
      </c>
      <c r="B27" s="2" t="s">
        <v>13</v>
      </c>
      <c r="C27" s="2" t="s">
        <v>14</v>
      </c>
      <c r="D27" s="2">
        <v>25</v>
      </c>
      <c r="E27" s="2">
        <v>25</v>
      </c>
      <c r="F27" s="2">
        <v>20</v>
      </c>
      <c r="G27" s="2">
        <v>91</v>
      </c>
      <c r="H27" s="2">
        <v>1000000</v>
      </c>
      <c r="I27" s="2">
        <v>776</v>
      </c>
      <c r="J27" s="2">
        <v>91</v>
      </c>
      <c r="K27" s="2">
        <v>3</v>
      </c>
    </row>
    <row r="28" spans="1:11" x14ac:dyDescent="0.25">
      <c r="A28" s="2" t="s">
        <v>23</v>
      </c>
      <c r="B28" s="2" t="s">
        <v>13</v>
      </c>
      <c r="C28" s="2" t="s">
        <v>14</v>
      </c>
      <c r="D28" s="2">
        <v>26</v>
      </c>
      <c r="E28" s="2">
        <v>26</v>
      </c>
      <c r="F28" s="2">
        <v>20</v>
      </c>
      <c r="G28" s="2">
        <v>91</v>
      </c>
      <c r="H28" s="2">
        <v>1000000</v>
      </c>
      <c r="I28" s="2">
        <v>1381</v>
      </c>
      <c r="J28" s="2">
        <v>89</v>
      </c>
      <c r="K28" s="2">
        <v>3</v>
      </c>
    </row>
    <row r="29" spans="1:11" x14ac:dyDescent="0.25">
      <c r="A29" s="2" t="s">
        <v>23</v>
      </c>
      <c r="B29" s="2" t="s">
        <v>13</v>
      </c>
      <c r="C29" s="2" t="s">
        <v>14</v>
      </c>
      <c r="D29" s="2">
        <v>27</v>
      </c>
      <c r="E29" s="2">
        <v>27</v>
      </c>
      <c r="F29" s="2">
        <v>20</v>
      </c>
      <c r="G29" s="2">
        <v>91</v>
      </c>
      <c r="H29" s="2">
        <v>1000000</v>
      </c>
      <c r="I29" s="2">
        <v>495</v>
      </c>
      <c r="J29" s="2">
        <v>91</v>
      </c>
      <c r="K29" s="2">
        <v>3</v>
      </c>
    </row>
    <row r="30" spans="1:11" x14ac:dyDescent="0.25">
      <c r="A30" s="2" t="s">
        <v>23</v>
      </c>
      <c r="B30" s="2" t="s">
        <v>13</v>
      </c>
      <c r="C30" s="2" t="s">
        <v>14</v>
      </c>
      <c r="D30" s="2">
        <v>28</v>
      </c>
      <c r="E30" s="2">
        <v>28</v>
      </c>
      <c r="F30" s="2">
        <v>20</v>
      </c>
      <c r="G30" s="2">
        <v>91</v>
      </c>
      <c r="H30" s="2">
        <v>1000000</v>
      </c>
      <c r="I30" s="2">
        <v>1411</v>
      </c>
      <c r="J30" s="2">
        <v>89</v>
      </c>
      <c r="K30" s="2">
        <v>3</v>
      </c>
    </row>
    <row r="31" spans="1:11" x14ac:dyDescent="0.25">
      <c r="A31" s="2" t="s">
        <v>23</v>
      </c>
      <c r="B31" s="2" t="s">
        <v>13</v>
      </c>
      <c r="C31" s="2" t="s">
        <v>14</v>
      </c>
      <c r="D31" s="2">
        <v>29</v>
      </c>
      <c r="E31" s="2">
        <v>29</v>
      </c>
      <c r="F31" s="2">
        <v>20</v>
      </c>
      <c r="G31" s="2">
        <v>91</v>
      </c>
      <c r="H31" s="2">
        <v>1000000</v>
      </c>
      <c r="I31" s="2">
        <v>131</v>
      </c>
      <c r="J31" s="2">
        <v>91</v>
      </c>
      <c r="K31" s="2">
        <v>3</v>
      </c>
    </row>
    <row r="32" spans="1:11" x14ac:dyDescent="0.25">
      <c r="A32" s="3" t="s">
        <v>23</v>
      </c>
      <c r="B32" s="3" t="s">
        <v>15</v>
      </c>
      <c r="C32" s="3" t="s">
        <v>16</v>
      </c>
      <c r="D32" s="3">
        <v>0</v>
      </c>
      <c r="E32" s="3">
        <v>0</v>
      </c>
      <c r="F32" s="3">
        <v>100</v>
      </c>
      <c r="G32" s="3">
        <v>430</v>
      </c>
      <c r="H32" s="3">
        <v>1000000</v>
      </c>
      <c r="I32" s="3">
        <v>208978</v>
      </c>
      <c r="J32" s="3">
        <v>427</v>
      </c>
      <c r="K32" s="3">
        <v>3</v>
      </c>
    </row>
    <row r="33" spans="1:11" x14ac:dyDescent="0.25">
      <c r="A33" s="3" t="s">
        <v>23</v>
      </c>
      <c r="B33" s="3" t="s">
        <v>15</v>
      </c>
      <c r="C33" s="3" t="s">
        <v>16</v>
      </c>
      <c r="D33" s="3">
        <v>1</v>
      </c>
      <c r="E33" s="3">
        <v>1</v>
      </c>
      <c r="F33" s="3">
        <v>100</v>
      </c>
      <c r="G33" s="3">
        <v>430</v>
      </c>
      <c r="H33" s="3">
        <v>1000000</v>
      </c>
      <c r="I33" s="3">
        <v>275428</v>
      </c>
      <c r="J33" s="3">
        <v>424</v>
      </c>
      <c r="K33" s="3">
        <v>3</v>
      </c>
    </row>
    <row r="34" spans="1:11" x14ac:dyDescent="0.25">
      <c r="A34" s="3" t="s">
        <v>23</v>
      </c>
      <c r="B34" s="3" t="s">
        <v>15</v>
      </c>
      <c r="C34" s="3" t="s">
        <v>16</v>
      </c>
      <c r="D34" s="3">
        <v>2</v>
      </c>
      <c r="E34" s="3">
        <v>2</v>
      </c>
      <c r="F34" s="3">
        <v>100</v>
      </c>
      <c r="G34" s="3">
        <v>430</v>
      </c>
      <c r="H34" s="3">
        <v>1000000</v>
      </c>
      <c r="I34" s="3">
        <v>173735</v>
      </c>
      <c r="J34" s="3">
        <v>426</v>
      </c>
      <c r="K34" s="3">
        <v>3</v>
      </c>
    </row>
    <row r="35" spans="1:11" x14ac:dyDescent="0.25">
      <c r="A35" s="3" t="s">
        <v>23</v>
      </c>
      <c r="B35" s="3" t="s">
        <v>15</v>
      </c>
      <c r="C35" s="3" t="s">
        <v>16</v>
      </c>
      <c r="D35" s="3">
        <v>3</v>
      </c>
      <c r="E35" s="3">
        <v>3</v>
      </c>
      <c r="F35" s="3">
        <v>100</v>
      </c>
      <c r="G35" s="3">
        <v>430</v>
      </c>
      <c r="H35" s="3">
        <v>1000000</v>
      </c>
      <c r="I35" s="3">
        <v>247781</v>
      </c>
      <c r="J35" s="3">
        <v>422</v>
      </c>
      <c r="K35" s="3">
        <v>3</v>
      </c>
    </row>
    <row r="36" spans="1:11" x14ac:dyDescent="0.25">
      <c r="A36" s="3" t="s">
        <v>23</v>
      </c>
      <c r="B36" s="3" t="s">
        <v>15</v>
      </c>
      <c r="C36" s="3" t="s">
        <v>16</v>
      </c>
      <c r="D36" s="3">
        <v>4</v>
      </c>
      <c r="E36" s="3">
        <v>4</v>
      </c>
      <c r="F36" s="3">
        <v>100</v>
      </c>
      <c r="G36" s="3">
        <v>430</v>
      </c>
      <c r="H36" s="3">
        <v>1000000</v>
      </c>
      <c r="I36" s="3">
        <v>172599</v>
      </c>
      <c r="J36" s="3">
        <v>426</v>
      </c>
      <c r="K36" s="3">
        <v>3</v>
      </c>
    </row>
    <row r="37" spans="1:11" x14ac:dyDescent="0.25">
      <c r="A37" s="3" t="s">
        <v>23</v>
      </c>
      <c r="B37" s="3" t="s">
        <v>15</v>
      </c>
      <c r="C37" s="3" t="s">
        <v>16</v>
      </c>
      <c r="D37" s="3">
        <v>5</v>
      </c>
      <c r="E37" s="3">
        <v>5</v>
      </c>
      <c r="F37" s="3">
        <v>100</v>
      </c>
      <c r="G37" s="3">
        <v>430</v>
      </c>
      <c r="H37" s="3">
        <v>1000000</v>
      </c>
      <c r="I37" s="3">
        <v>309067</v>
      </c>
      <c r="J37" s="3">
        <v>425</v>
      </c>
      <c r="K37" s="3">
        <v>3</v>
      </c>
    </row>
    <row r="38" spans="1:11" x14ac:dyDescent="0.25">
      <c r="A38" s="3" t="s">
        <v>23</v>
      </c>
      <c r="B38" s="3" t="s">
        <v>15</v>
      </c>
      <c r="C38" s="3" t="s">
        <v>16</v>
      </c>
      <c r="D38" s="3">
        <v>6</v>
      </c>
      <c r="E38" s="3">
        <v>6</v>
      </c>
      <c r="F38" s="3">
        <v>100</v>
      </c>
      <c r="G38" s="3">
        <v>430</v>
      </c>
      <c r="H38" s="3">
        <v>1000000</v>
      </c>
      <c r="I38" s="3">
        <v>418243</v>
      </c>
      <c r="J38" s="3">
        <v>426</v>
      </c>
      <c r="K38" s="3">
        <v>3</v>
      </c>
    </row>
    <row r="39" spans="1:11" x14ac:dyDescent="0.25">
      <c r="A39" s="3" t="s">
        <v>23</v>
      </c>
      <c r="B39" s="3" t="s">
        <v>15</v>
      </c>
      <c r="C39" s="3" t="s">
        <v>16</v>
      </c>
      <c r="D39" s="3">
        <v>7</v>
      </c>
      <c r="E39" s="3">
        <v>7</v>
      </c>
      <c r="F39" s="3">
        <v>100</v>
      </c>
      <c r="G39" s="3">
        <v>430</v>
      </c>
      <c r="H39" s="3">
        <v>1000000</v>
      </c>
      <c r="I39" s="3">
        <v>169185</v>
      </c>
      <c r="J39" s="3">
        <v>423</v>
      </c>
      <c r="K39" s="3">
        <v>3</v>
      </c>
    </row>
    <row r="40" spans="1:11" x14ac:dyDescent="0.25">
      <c r="A40" s="3" t="s">
        <v>23</v>
      </c>
      <c r="B40" s="3" t="s">
        <v>15</v>
      </c>
      <c r="C40" s="3" t="s">
        <v>16</v>
      </c>
      <c r="D40" s="3">
        <v>8</v>
      </c>
      <c r="E40" s="3">
        <v>8</v>
      </c>
      <c r="F40" s="3">
        <v>100</v>
      </c>
      <c r="G40" s="3">
        <v>430</v>
      </c>
      <c r="H40" s="3">
        <v>1000000</v>
      </c>
      <c r="I40" s="3">
        <v>291106</v>
      </c>
      <c r="J40" s="3">
        <v>425</v>
      </c>
      <c r="K40" s="3">
        <v>3</v>
      </c>
    </row>
    <row r="41" spans="1:11" x14ac:dyDescent="0.25">
      <c r="A41" s="3" t="s">
        <v>23</v>
      </c>
      <c r="B41" s="3" t="s">
        <v>15</v>
      </c>
      <c r="C41" s="3" t="s">
        <v>16</v>
      </c>
      <c r="D41" s="3">
        <v>9</v>
      </c>
      <c r="E41" s="3">
        <v>9</v>
      </c>
      <c r="F41" s="3">
        <v>100</v>
      </c>
      <c r="G41" s="3">
        <v>430</v>
      </c>
      <c r="H41" s="3">
        <v>1000000</v>
      </c>
      <c r="I41" s="3">
        <v>243599</v>
      </c>
      <c r="J41" s="3">
        <v>424</v>
      </c>
      <c r="K41" s="3">
        <v>3</v>
      </c>
    </row>
    <row r="42" spans="1:11" x14ac:dyDescent="0.25">
      <c r="A42" s="3" t="s">
        <v>23</v>
      </c>
      <c r="B42" s="3" t="s">
        <v>15</v>
      </c>
      <c r="C42" s="3" t="s">
        <v>16</v>
      </c>
      <c r="D42" s="3">
        <v>10</v>
      </c>
      <c r="E42" s="3">
        <v>10</v>
      </c>
      <c r="F42" s="3">
        <v>100</v>
      </c>
      <c r="G42" s="3">
        <v>430</v>
      </c>
      <c r="H42" s="3">
        <v>1000000</v>
      </c>
      <c r="I42" s="3">
        <v>181968</v>
      </c>
      <c r="J42" s="3">
        <v>426</v>
      </c>
      <c r="K42" s="3">
        <v>3</v>
      </c>
    </row>
    <row r="43" spans="1:11" x14ac:dyDescent="0.25">
      <c r="A43" s="3" t="s">
        <v>23</v>
      </c>
      <c r="B43" s="3" t="s">
        <v>15</v>
      </c>
      <c r="C43" s="3" t="s">
        <v>16</v>
      </c>
      <c r="D43" s="3">
        <v>11</v>
      </c>
      <c r="E43" s="3">
        <v>11</v>
      </c>
      <c r="F43" s="3">
        <v>100</v>
      </c>
      <c r="G43" s="3">
        <v>430</v>
      </c>
      <c r="H43" s="3">
        <v>1000000</v>
      </c>
      <c r="I43" s="3">
        <v>170153</v>
      </c>
      <c r="J43" s="3">
        <v>418</v>
      </c>
      <c r="K43" s="3">
        <v>3</v>
      </c>
    </row>
    <row r="44" spans="1:11" x14ac:dyDescent="0.25">
      <c r="A44" s="3" t="s">
        <v>23</v>
      </c>
      <c r="B44" s="3" t="s">
        <v>15</v>
      </c>
      <c r="C44" s="3" t="s">
        <v>16</v>
      </c>
      <c r="D44" s="3">
        <v>12</v>
      </c>
      <c r="E44" s="3">
        <v>12</v>
      </c>
      <c r="F44" s="3">
        <v>100</v>
      </c>
      <c r="G44" s="3">
        <v>430</v>
      </c>
      <c r="H44" s="3">
        <v>1000000</v>
      </c>
      <c r="I44" s="3">
        <v>299790</v>
      </c>
      <c r="J44" s="3">
        <v>427</v>
      </c>
      <c r="K44" s="3">
        <v>3</v>
      </c>
    </row>
    <row r="45" spans="1:11" x14ac:dyDescent="0.25">
      <c r="A45" s="3" t="s">
        <v>23</v>
      </c>
      <c r="B45" s="3" t="s">
        <v>15</v>
      </c>
      <c r="C45" s="3" t="s">
        <v>16</v>
      </c>
      <c r="D45" s="3">
        <v>13</v>
      </c>
      <c r="E45" s="3">
        <v>13</v>
      </c>
      <c r="F45" s="3">
        <v>100</v>
      </c>
      <c r="G45" s="3">
        <v>430</v>
      </c>
      <c r="H45" s="3">
        <v>1000000</v>
      </c>
      <c r="I45" s="3">
        <v>259222</v>
      </c>
      <c r="J45" s="3">
        <v>424</v>
      </c>
      <c r="K45" s="3">
        <v>3</v>
      </c>
    </row>
    <row r="46" spans="1:11" x14ac:dyDescent="0.25">
      <c r="A46" s="3" t="s">
        <v>23</v>
      </c>
      <c r="B46" s="3" t="s">
        <v>15</v>
      </c>
      <c r="C46" s="3" t="s">
        <v>16</v>
      </c>
      <c r="D46" s="3">
        <v>14</v>
      </c>
      <c r="E46" s="3">
        <v>14</v>
      </c>
      <c r="F46" s="3">
        <v>100</v>
      </c>
      <c r="G46" s="3">
        <v>430</v>
      </c>
      <c r="H46" s="3">
        <v>1000000</v>
      </c>
      <c r="I46" s="3">
        <v>230533</v>
      </c>
      <c r="J46" s="3">
        <v>425</v>
      </c>
      <c r="K46" s="3">
        <v>3</v>
      </c>
    </row>
    <row r="47" spans="1:11" x14ac:dyDescent="0.25">
      <c r="A47" s="3" t="s">
        <v>23</v>
      </c>
      <c r="B47" s="3" t="s">
        <v>15</v>
      </c>
      <c r="C47" s="3" t="s">
        <v>16</v>
      </c>
      <c r="D47" s="3">
        <v>15</v>
      </c>
      <c r="E47" s="3">
        <v>15</v>
      </c>
      <c r="F47" s="3">
        <v>100</v>
      </c>
      <c r="G47" s="3">
        <v>430</v>
      </c>
      <c r="H47" s="3">
        <v>1000000</v>
      </c>
      <c r="I47" s="3">
        <v>341431</v>
      </c>
      <c r="J47" s="3">
        <v>425</v>
      </c>
      <c r="K47" s="3">
        <v>3</v>
      </c>
    </row>
    <row r="48" spans="1:11" x14ac:dyDescent="0.25">
      <c r="A48" s="3" t="s">
        <v>23</v>
      </c>
      <c r="B48" s="3" t="s">
        <v>15</v>
      </c>
      <c r="C48" s="3" t="s">
        <v>16</v>
      </c>
      <c r="D48" s="3">
        <v>16</v>
      </c>
      <c r="E48" s="3">
        <v>16</v>
      </c>
      <c r="F48" s="3">
        <v>100</v>
      </c>
      <c r="G48" s="3">
        <v>430</v>
      </c>
      <c r="H48" s="3">
        <v>1000000</v>
      </c>
      <c r="I48" s="3">
        <v>178019</v>
      </c>
      <c r="J48" s="3">
        <v>423</v>
      </c>
      <c r="K48" s="3">
        <v>3</v>
      </c>
    </row>
    <row r="49" spans="1:11" x14ac:dyDescent="0.25">
      <c r="A49" s="3" t="s">
        <v>23</v>
      </c>
      <c r="B49" s="3" t="s">
        <v>15</v>
      </c>
      <c r="C49" s="3" t="s">
        <v>16</v>
      </c>
      <c r="D49" s="3">
        <v>17</v>
      </c>
      <c r="E49" s="3">
        <v>17</v>
      </c>
      <c r="F49" s="3">
        <v>100</v>
      </c>
      <c r="G49" s="3">
        <v>430</v>
      </c>
      <c r="H49" s="3">
        <v>1000000</v>
      </c>
      <c r="I49" s="3">
        <v>186257</v>
      </c>
      <c r="J49" s="3">
        <v>427</v>
      </c>
      <c r="K49" s="3">
        <v>3</v>
      </c>
    </row>
    <row r="50" spans="1:11" x14ac:dyDescent="0.25">
      <c r="A50" s="3" t="s">
        <v>23</v>
      </c>
      <c r="B50" s="3" t="s">
        <v>15</v>
      </c>
      <c r="C50" s="3" t="s">
        <v>16</v>
      </c>
      <c r="D50" s="3">
        <v>18</v>
      </c>
      <c r="E50" s="3">
        <v>18</v>
      </c>
      <c r="F50" s="3">
        <v>100</v>
      </c>
      <c r="G50" s="3">
        <v>430</v>
      </c>
      <c r="H50" s="3">
        <v>1000000</v>
      </c>
      <c r="I50" s="3">
        <v>252952</v>
      </c>
      <c r="J50" s="3">
        <v>425</v>
      </c>
      <c r="K50" s="3">
        <v>3</v>
      </c>
    </row>
    <row r="51" spans="1:11" x14ac:dyDescent="0.25">
      <c r="A51" s="3" t="s">
        <v>23</v>
      </c>
      <c r="B51" s="3" t="s">
        <v>15</v>
      </c>
      <c r="C51" s="3" t="s">
        <v>16</v>
      </c>
      <c r="D51" s="3">
        <v>19</v>
      </c>
      <c r="E51" s="3">
        <v>19</v>
      </c>
      <c r="F51" s="3">
        <v>100</v>
      </c>
      <c r="G51" s="3">
        <v>430</v>
      </c>
      <c r="H51" s="3">
        <v>1000000</v>
      </c>
      <c r="I51" s="3">
        <v>183516</v>
      </c>
      <c r="J51" s="3">
        <v>426</v>
      </c>
      <c r="K51" s="3">
        <v>3</v>
      </c>
    </row>
    <row r="52" spans="1:11" x14ac:dyDescent="0.25">
      <c r="A52" s="3" t="s">
        <v>23</v>
      </c>
      <c r="B52" s="3" t="s">
        <v>15</v>
      </c>
      <c r="C52" s="3" t="s">
        <v>16</v>
      </c>
      <c r="D52" s="3">
        <v>20</v>
      </c>
      <c r="E52" s="3">
        <v>20</v>
      </c>
      <c r="F52" s="3">
        <v>100</v>
      </c>
      <c r="G52" s="3">
        <v>430</v>
      </c>
      <c r="H52" s="3">
        <v>1000000</v>
      </c>
      <c r="I52" s="3">
        <v>277494</v>
      </c>
      <c r="J52" s="3">
        <v>426</v>
      </c>
      <c r="K52" s="3">
        <v>3</v>
      </c>
    </row>
    <row r="53" spans="1:11" x14ac:dyDescent="0.25">
      <c r="A53" s="3" t="s">
        <v>23</v>
      </c>
      <c r="B53" s="3" t="s">
        <v>15</v>
      </c>
      <c r="C53" s="3" t="s">
        <v>16</v>
      </c>
      <c r="D53" s="3">
        <v>21</v>
      </c>
      <c r="E53" s="3">
        <v>21</v>
      </c>
      <c r="F53" s="3">
        <v>100</v>
      </c>
      <c r="G53" s="3">
        <v>430</v>
      </c>
      <c r="H53" s="3">
        <v>1000000</v>
      </c>
      <c r="I53" s="3">
        <v>172434</v>
      </c>
      <c r="J53" s="3">
        <v>418</v>
      </c>
      <c r="K53" s="3">
        <v>3</v>
      </c>
    </row>
    <row r="54" spans="1:11" x14ac:dyDescent="0.25">
      <c r="A54" s="3" t="s">
        <v>23</v>
      </c>
      <c r="B54" s="3" t="s">
        <v>15</v>
      </c>
      <c r="C54" s="3" t="s">
        <v>16</v>
      </c>
      <c r="D54" s="3">
        <v>22</v>
      </c>
      <c r="E54" s="3">
        <v>22</v>
      </c>
      <c r="F54" s="3">
        <v>100</v>
      </c>
      <c r="G54" s="3">
        <v>430</v>
      </c>
      <c r="H54" s="3">
        <v>1000000</v>
      </c>
      <c r="I54" s="3">
        <v>400898</v>
      </c>
      <c r="J54" s="3">
        <v>427</v>
      </c>
      <c r="K54" s="3">
        <v>3</v>
      </c>
    </row>
    <row r="55" spans="1:11" x14ac:dyDescent="0.25">
      <c r="A55" s="3" t="s">
        <v>23</v>
      </c>
      <c r="B55" s="3" t="s">
        <v>15</v>
      </c>
      <c r="C55" s="3" t="s">
        <v>16</v>
      </c>
      <c r="D55" s="3">
        <v>23</v>
      </c>
      <c r="E55" s="3">
        <v>23</v>
      </c>
      <c r="F55" s="3">
        <v>100</v>
      </c>
      <c r="G55" s="3">
        <v>430</v>
      </c>
      <c r="H55" s="3">
        <v>1000000</v>
      </c>
      <c r="I55" s="3">
        <v>176105</v>
      </c>
      <c r="J55" s="3">
        <v>420</v>
      </c>
      <c r="K55" s="3">
        <v>3</v>
      </c>
    </row>
    <row r="56" spans="1:11" x14ac:dyDescent="0.25">
      <c r="A56" s="3" t="s">
        <v>23</v>
      </c>
      <c r="B56" s="3" t="s">
        <v>15</v>
      </c>
      <c r="C56" s="3" t="s">
        <v>16</v>
      </c>
      <c r="D56" s="3">
        <v>24</v>
      </c>
      <c r="E56" s="3">
        <v>24</v>
      </c>
      <c r="F56" s="3">
        <v>100</v>
      </c>
      <c r="G56" s="3">
        <v>430</v>
      </c>
      <c r="H56" s="3">
        <v>1000000</v>
      </c>
      <c r="I56" s="3">
        <v>173810</v>
      </c>
      <c r="J56" s="3">
        <v>426</v>
      </c>
      <c r="K56" s="3">
        <v>3</v>
      </c>
    </row>
    <row r="57" spans="1:11" x14ac:dyDescent="0.25">
      <c r="A57" s="3" t="s">
        <v>23</v>
      </c>
      <c r="B57" s="3" t="s">
        <v>15</v>
      </c>
      <c r="C57" s="3" t="s">
        <v>16</v>
      </c>
      <c r="D57" s="3">
        <v>25</v>
      </c>
      <c r="E57" s="3">
        <v>25</v>
      </c>
      <c r="F57" s="3">
        <v>100</v>
      </c>
      <c r="G57" s="3">
        <v>430</v>
      </c>
      <c r="H57" s="3">
        <v>1000000</v>
      </c>
      <c r="I57" s="3">
        <v>460788</v>
      </c>
      <c r="J57" s="3">
        <v>428</v>
      </c>
      <c r="K57" s="3">
        <v>3</v>
      </c>
    </row>
    <row r="58" spans="1:11" x14ac:dyDescent="0.25">
      <c r="A58" s="3" t="s">
        <v>23</v>
      </c>
      <c r="B58" s="3" t="s">
        <v>15</v>
      </c>
      <c r="C58" s="3" t="s">
        <v>16</v>
      </c>
      <c r="D58" s="3">
        <v>26</v>
      </c>
      <c r="E58" s="3">
        <v>26</v>
      </c>
      <c r="F58" s="3">
        <v>100</v>
      </c>
      <c r="G58" s="3">
        <v>430</v>
      </c>
      <c r="H58" s="3">
        <v>1000000</v>
      </c>
      <c r="I58" s="3">
        <v>214418</v>
      </c>
      <c r="J58" s="3">
        <v>422</v>
      </c>
      <c r="K58" s="3">
        <v>3</v>
      </c>
    </row>
    <row r="59" spans="1:11" x14ac:dyDescent="0.25">
      <c r="A59" s="3" t="s">
        <v>23</v>
      </c>
      <c r="B59" s="3" t="s">
        <v>15</v>
      </c>
      <c r="C59" s="3" t="s">
        <v>16</v>
      </c>
      <c r="D59" s="3">
        <v>27</v>
      </c>
      <c r="E59" s="3">
        <v>27</v>
      </c>
      <c r="F59" s="3">
        <v>100</v>
      </c>
      <c r="G59" s="3">
        <v>430</v>
      </c>
      <c r="H59" s="3">
        <v>1000000</v>
      </c>
      <c r="I59" s="3">
        <v>352732</v>
      </c>
      <c r="J59" s="3">
        <v>426</v>
      </c>
      <c r="K59" s="3">
        <v>3</v>
      </c>
    </row>
    <row r="60" spans="1:11" x14ac:dyDescent="0.25">
      <c r="A60" s="3" t="s">
        <v>23</v>
      </c>
      <c r="B60" s="3" t="s">
        <v>15</v>
      </c>
      <c r="C60" s="3" t="s">
        <v>16</v>
      </c>
      <c r="D60" s="3">
        <v>28</v>
      </c>
      <c r="E60" s="3">
        <v>28</v>
      </c>
      <c r="F60" s="3">
        <v>100</v>
      </c>
      <c r="G60" s="3">
        <v>430</v>
      </c>
      <c r="H60" s="3">
        <v>1000000</v>
      </c>
      <c r="I60" s="3">
        <v>328917</v>
      </c>
      <c r="J60" s="3">
        <v>425</v>
      </c>
      <c r="K60" s="3">
        <v>3</v>
      </c>
    </row>
    <row r="61" spans="1:11" x14ac:dyDescent="0.25">
      <c r="A61" s="3" t="s">
        <v>23</v>
      </c>
      <c r="B61" s="3" t="s">
        <v>15</v>
      </c>
      <c r="C61" s="3" t="s">
        <v>16</v>
      </c>
      <c r="D61" s="3">
        <v>29</v>
      </c>
      <c r="E61" s="3">
        <v>29</v>
      </c>
      <c r="F61" s="3">
        <v>100</v>
      </c>
      <c r="G61" s="3">
        <v>430</v>
      </c>
      <c r="H61" s="3">
        <v>1000000</v>
      </c>
      <c r="I61" s="3">
        <v>223016</v>
      </c>
      <c r="J61" s="3">
        <v>420</v>
      </c>
      <c r="K61" s="3">
        <v>3</v>
      </c>
    </row>
    <row r="62" spans="1:11" x14ac:dyDescent="0.25">
      <c r="A62" s="2" t="s">
        <v>23</v>
      </c>
      <c r="B62" s="2" t="s">
        <v>17</v>
      </c>
      <c r="C62" s="2" t="s">
        <v>18</v>
      </c>
      <c r="D62" s="2">
        <v>0</v>
      </c>
      <c r="E62" s="2">
        <v>0</v>
      </c>
      <c r="F62" s="2">
        <v>250</v>
      </c>
      <c r="G62" s="2">
        <v>1065</v>
      </c>
      <c r="H62" s="2">
        <v>1000000</v>
      </c>
      <c r="I62" s="2">
        <v>2457274</v>
      </c>
      <c r="J62" s="2">
        <v>1055</v>
      </c>
      <c r="K62" s="2">
        <v>3</v>
      </c>
    </row>
    <row r="63" spans="1:11" x14ac:dyDescent="0.25">
      <c r="A63" s="2" t="s">
        <v>23</v>
      </c>
      <c r="B63" s="2" t="s">
        <v>17</v>
      </c>
      <c r="C63" s="2" t="s">
        <v>18</v>
      </c>
      <c r="D63" s="2">
        <v>1</v>
      </c>
      <c r="E63" s="2">
        <v>1</v>
      </c>
      <c r="F63" s="2">
        <v>250</v>
      </c>
      <c r="G63" s="2">
        <v>1065</v>
      </c>
      <c r="H63" s="2">
        <v>1000000</v>
      </c>
      <c r="I63" s="2">
        <v>2515498</v>
      </c>
      <c r="J63" s="2">
        <v>1054</v>
      </c>
      <c r="K63" s="2">
        <v>3</v>
      </c>
    </row>
    <row r="64" spans="1:11" x14ac:dyDescent="0.25">
      <c r="A64" s="2" t="s">
        <v>23</v>
      </c>
      <c r="B64" s="2" t="s">
        <v>17</v>
      </c>
      <c r="C64" s="2" t="s">
        <v>18</v>
      </c>
      <c r="D64" s="2">
        <v>2</v>
      </c>
      <c r="E64" s="2">
        <v>2</v>
      </c>
      <c r="F64" s="2">
        <v>250</v>
      </c>
      <c r="G64" s="2">
        <v>1065</v>
      </c>
      <c r="H64" s="2">
        <v>1000000</v>
      </c>
      <c r="I64" s="2">
        <v>1429064</v>
      </c>
      <c r="J64" s="2">
        <v>1048</v>
      </c>
      <c r="K64" s="2">
        <v>3</v>
      </c>
    </row>
    <row r="65" spans="1:11" x14ac:dyDescent="0.25">
      <c r="A65" s="2" t="s">
        <v>23</v>
      </c>
      <c r="B65" s="2" t="s">
        <v>17</v>
      </c>
      <c r="C65" s="2" t="s">
        <v>18</v>
      </c>
      <c r="D65" s="2">
        <v>3</v>
      </c>
      <c r="E65" s="2">
        <v>3</v>
      </c>
      <c r="F65" s="2">
        <v>250</v>
      </c>
      <c r="G65" s="2">
        <v>1065</v>
      </c>
      <c r="H65" s="2">
        <v>1000000</v>
      </c>
      <c r="I65" s="2">
        <v>1241182</v>
      </c>
      <c r="J65" s="2">
        <v>1048</v>
      </c>
      <c r="K65" s="2">
        <v>3</v>
      </c>
    </row>
    <row r="66" spans="1:11" x14ac:dyDescent="0.25">
      <c r="A66" s="2" t="s">
        <v>23</v>
      </c>
      <c r="B66" s="2" t="s">
        <v>17</v>
      </c>
      <c r="C66" s="2" t="s">
        <v>18</v>
      </c>
      <c r="D66" s="2">
        <v>4</v>
      </c>
      <c r="E66" s="2">
        <v>4</v>
      </c>
      <c r="F66" s="2">
        <v>250</v>
      </c>
      <c r="G66" s="2">
        <v>1065</v>
      </c>
      <c r="H66" s="2">
        <v>1000000</v>
      </c>
      <c r="I66" s="2">
        <v>1250324</v>
      </c>
      <c r="J66" s="2">
        <v>1056</v>
      </c>
      <c r="K66" s="2">
        <v>3</v>
      </c>
    </row>
    <row r="67" spans="1:11" x14ac:dyDescent="0.25">
      <c r="A67" s="2" t="s">
        <v>23</v>
      </c>
      <c r="B67" s="2" t="s">
        <v>17</v>
      </c>
      <c r="C67" s="2" t="s">
        <v>18</v>
      </c>
      <c r="D67" s="2">
        <v>5</v>
      </c>
      <c r="E67" s="2">
        <v>5</v>
      </c>
      <c r="F67" s="2">
        <v>250</v>
      </c>
      <c r="G67" s="2">
        <v>1065</v>
      </c>
      <c r="H67" s="2">
        <v>1000000</v>
      </c>
      <c r="I67" s="2">
        <v>1911129</v>
      </c>
      <c r="J67" s="2">
        <v>1053</v>
      </c>
      <c r="K67" s="2">
        <v>3</v>
      </c>
    </row>
    <row r="68" spans="1:11" x14ac:dyDescent="0.25">
      <c r="A68" s="2" t="s">
        <v>23</v>
      </c>
      <c r="B68" s="2" t="s">
        <v>17</v>
      </c>
      <c r="C68" s="2" t="s">
        <v>18</v>
      </c>
      <c r="D68" s="2">
        <v>6</v>
      </c>
      <c r="E68" s="2">
        <v>6</v>
      </c>
      <c r="F68" s="2">
        <v>250</v>
      </c>
      <c r="G68" s="2">
        <v>1065</v>
      </c>
      <c r="H68" s="2">
        <v>1000000</v>
      </c>
      <c r="I68" s="2">
        <v>1605935</v>
      </c>
      <c r="J68" s="2">
        <v>1053</v>
      </c>
      <c r="K68" s="2">
        <v>3</v>
      </c>
    </row>
    <row r="69" spans="1:11" x14ac:dyDescent="0.25">
      <c r="A69" s="2" t="s">
        <v>23</v>
      </c>
      <c r="B69" s="2" t="s">
        <v>17</v>
      </c>
      <c r="C69" s="2" t="s">
        <v>18</v>
      </c>
      <c r="D69" s="2">
        <v>7</v>
      </c>
      <c r="E69" s="2">
        <v>7</v>
      </c>
      <c r="F69" s="2">
        <v>250</v>
      </c>
      <c r="G69" s="2">
        <v>1065</v>
      </c>
      <c r="H69" s="2">
        <v>1000000</v>
      </c>
      <c r="I69" s="2">
        <v>2674150</v>
      </c>
      <c r="J69" s="2">
        <v>1051</v>
      </c>
      <c r="K69" s="2">
        <v>3</v>
      </c>
    </row>
    <row r="70" spans="1:11" x14ac:dyDescent="0.25">
      <c r="A70" s="2" t="s">
        <v>23</v>
      </c>
      <c r="B70" s="2" t="s">
        <v>17</v>
      </c>
      <c r="C70" s="2" t="s">
        <v>18</v>
      </c>
      <c r="D70" s="2">
        <v>8</v>
      </c>
      <c r="E70" s="2">
        <v>8</v>
      </c>
      <c r="F70" s="2">
        <v>250</v>
      </c>
      <c r="G70" s="2">
        <v>1065</v>
      </c>
      <c r="H70" s="2">
        <v>1000000</v>
      </c>
      <c r="I70" s="2">
        <v>3260976</v>
      </c>
      <c r="J70" s="2">
        <v>1059</v>
      </c>
      <c r="K70" s="2">
        <v>3</v>
      </c>
    </row>
    <row r="71" spans="1:11" x14ac:dyDescent="0.25">
      <c r="A71" s="2" t="s">
        <v>23</v>
      </c>
      <c r="B71" s="2" t="s">
        <v>17</v>
      </c>
      <c r="C71" s="2" t="s">
        <v>18</v>
      </c>
      <c r="D71" s="2">
        <v>9</v>
      </c>
      <c r="E71" s="2">
        <v>9</v>
      </c>
      <c r="F71" s="2">
        <v>250</v>
      </c>
      <c r="G71" s="2">
        <v>1065</v>
      </c>
      <c r="H71" s="2">
        <v>1000000</v>
      </c>
      <c r="I71" s="2">
        <v>2711527</v>
      </c>
      <c r="J71" s="2">
        <v>1055</v>
      </c>
      <c r="K71" s="2">
        <v>3</v>
      </c>
    </row>
    <row r="72" spans="1:11" x14ac:dyDescent="0.25">
      <c r="A72" s="2" t="s">
        <v>23</v>
      </c>
      <c r="B72" s="2" t="s">
        <v>17</v>
      </c>
      <c r="C72" s="2" t="s">
        <v>18</v>
      </c>
      <c r="D72" s="2">
        <v>10</v>
      </c>
      <c r="E72" s="2">
        <v>10</v>
      </c>
      <c r="F72" s="2">
        <v>250</v>
      </c>
      <c r="G72" s="2">
        <v>1065</v>
      </c>
      <c r="H72" s="2">
        <v>1000000</v>
      </c>
      <c r="I72" s="2">
        <v>1010964</v>
      </c>
      <c r="J72" s="2">
        <v>1054</v>
      </c>
      <c r="K72" s="2">
        <v>3</v>
      </c>
    </row>
    <row r="73" spans="1:11" x14ac:dyDescent="0.25">
      <c r="A73" s="2" t="s">
        <v>23</v>
      </c>
      <c r="B73" s="2" t="s">
        <v>17</v>
      </c>
      <c r="C73" s="2" t="s">
        <v>18</v>
      </c>
      <c r="D73" s="2">
        <v>11</v>
      </c>
      <c r="E73" s="2">
        <v>11</v>
      </c>
      <c r="F73" s="2">
        <v>250</v>
      </c>
      <c r="G73" s="2">
        <v>1065</v>
      </c>
      <c r="H73" s="2">
        <v>1000000</v>
      </c>
      <c r="I73" s="2">
        <v>2043474</v>
      </c>
      <c r="J73" s="2">
        <v>1053</v>
      </c>
      <c r="K73" s="2">
        <v>3</v>
      </c>
    </row>
    <row r="74" spans="1:11" x14ac:dyDescent="0.25">
      <c r="A74" s="2" t="s">
        <v>23</v>
      </c>
      <c r="B74" s="2" t="s">
        <v>17</v>
      </c>
      <c r="C74" s="2" t="s">
        <v>18</v>
      </c>
      <c r="D74" s="2">
        <v>12</v>
      </c>
      <c r="E74" s="2">
        <v>12</v>
      </c>
      <c r="F74" s="2">
        <v>250</v>
      </c>
      <c r="G74" s="2">
        <v>1065</v>
      </c>
      <c r="H74" s="2">
        <v>1000000</v>
      </c>
      <c r="I74" s="2">
        <v>1311697</v>
      </c>
      <c r="J74" s="2">
        <v>1050</v>
      </c>
      <c r="K74" s="2">
        <v>3</v>
      </c>
    </row>
    <row r="75" spans="1:11" x14ac:dyDescent="0.25">
      <c r="A75" s="2" t="s">
        <v>23</v>
      </c>
      <c r="B75" s="2" t="s">
        <v>17</v>
      </c>
      <c r="C75" s="2" t="s">
        <v>18</v>
      </c>
      <c r="D75" s="2">
        <v>13</v>
      </c>
      <c r="E75" s="2">
        <v>13</v>
      </c>
      <c r="F75" s="2">
        <v>250</v>
      </c>
      <c r="G75" s="2">
        <v>1065</v>
      </c>
      <c r="H75" s="2">
        <v>1000000</v>
      </c>
      <c r="I75" s="2">
        <v>3072919</v>
      </c>
      <c r="J75" s="2">
        <v>1056</v>
      </c>
      <c r="K75" s="2">
        <v>3</v>
      </c>
    </row>
    <row r="76" spans="1:11" x14ac:dyDescent="0.25">
      <c r="A76" s="2" t="s">
        <v>23</v>
      </c>
      <c r="B76" s="2" t="s">
        <v>17</v>
      </c>
      <c r="C76" s="2" t="s">
        <v>18</v>
      </c>
      <c r="D76" s="2">
        <v>14</v>
      </c>
      <c r="E76" s="2">
        <v>14</v>
      </c>
      <c r="F76" s="2">
        <v>250</v>
      </c>
      <c r="G76" s="2">
        <v>1065</v>
      </c>
      <c r="H76" s="2">
        <v>1000000</v>
      </c>
      <c r="I76" s="2">
        <v>2891051</v>
      </c>
      <c r="J76" s="2">
        <v>1052</v>
      </c>
      <c r="K76" s="2">
        <v>3</v>
      </c>
    </row>
    <row r="77" spans="1:11" x14ac:dyDescent="0.25">
      <c r="A77" s="2" t="s">
        <v>23</v>
      </c>
      <c r="B77" s="2" t="s">
        <v>17</v>
      </c>
      <c r="C77" s="2" t="s">
        <v>18</v>
      </c>
      <c r="D77" s="2">
        <v>15</v>
      </c>
      <c r="E77" s="2">
        <v>15</v>
      </c>
      <c r="F77" s="2">
        <v>250</v>
      </c>
      <c r="G77" s="2">
        <v>1065</v>
      </c>
      <c r="H77" s="2">
        <v>1000000</v>
      </c>
      <c r="I77" s="2">
        <v>1614958</v>
      </c>
      <c r="J77" s="2">
        <v>1052</v>
      </c>
      <c r="K77" s="2">
        <v>3</v>
      </c>
    </row>
    <row r="78" spans="1:11" x14ac:dyDescent="0.25">
      <c r="A78" s="2" t="s">
        <v>23</v>
      </c>
      <c r="B78" s="2" t="s">
        <v>17</v>
      </c>
      <c r="C78" s="2" t="s">
        <v>18</v>
      </c>
      <c r="D78" s="2">
        <v>16</v>
      </c>
      <c r="E78" s="2">
        <v>16</v>
      </c>
      <c r="F78" s="2">
        <v>250</v>
      </c>
      <c r="G78" s="2">
        <v>1065</v>
      </c>
      <c r="H78" s="2">
        <v>1000000</v>
      </c>
      <c r="I78" s="2">
        <v>2714137</v>
      </c>
      <c r="J78" s="2">
        <v>1051</v>
      </c>
      <c r="K78" s="2">
        <v>3</v>
      </c>
    </row>
    <row r="79" spans="1:11" x14ac:dyDescent="0.25">
      <c r="A79" s="2" t="s">
        <v>23</v>
      </c>
      <c r="B79" s="2" t="s">
        <v>17</v>
      </c>
      <c r="C79" s="2" t="s">
        <v>18</v>
      </c>
      <c r="D79" s="2">
        <v>17</v>
      </c>
      <c r="E79" s="2">
        <v>17</v>
      </c>
      <c r="F79" s="2">
        <v>250</v>
      </c>
      <c r="G79" s="2">
        <v>1065</v>
      </c>
      <c r="H79" s="2">
        <v>1000000</v>
      </c>
      <c r="I79" s="2">
        <v>2886409</v>
      </c>
      <c r="J79" s="2">
        <v>1055</v>
      </c>
      <c r="K79" s="2">
        <v>3</v>
      </c>
    </row>
    <row r="80" spans="1:11" x14ac:dyDescent="0.25">
      <c r="A80" s="2" t="s">
        <v>23</v>
      </c>
      <c r="B80" s="2" t="s">
        <v>17</v>
      </c>
      <c r="C80" s="2" t="s">
        <v>18</v>
      </c>
      <c r="D80" s="2">
        <v>18</v>
      </c>
      <c r="E80" s="2">
        <v>18</v>
      </c>
      <c r="F80" s="2">
        <v>250</v>
      </c>
      <c r="G80" s="2">
        <v>1065</v>
      </c>
      <c r="H80" s="2">
        <v>1000000</v>
      </c>
      <c r="I80" s="2">
        <v>1717872</v>
      </c>
      <c r="J80" s="2">
        <v>1051</v>
      </c>
      <c r="K80" s="2">
        <v>3</v>
      </c>
    </row>
    <row r="81" spans="1:11" x14ac:dyDescent="0.25">
      <c r="A81" s="2" t="s">
        <v>23</v>
      </c>
      <c r="B81" s="2" t="s">
        <v>17</v>
      </c>
      <c r="C81" s="2" t="s">
        <v>18</v>
      </c>
      <c r="D81" s="2">
        <v>19</v>
      </c>
      <c r="E81" s="2">
        <v>19</v>
      </c>
      <c r="F81" s="2">
        <v>250</v>
      </c>
      <c r="G81" s="2">
        <v>1065</v>
      </c>
      <c r="H81" s="2">
        <v>1000000</v>
      </c>
      <c r="I81" s="2">
        <v>2470470</v>
      </c>
      <c r="J81" s="2">
        <v>1051</v>
      </c>
      <c r="K81" s="2">
        <v>3</v>
      </c>
    </row>
    <row r="82" spans="1:11" x14ac:dyDescent="0.25">
      <c r="A82" s="2" t="s">
        <v>23</v>
      </c>
      <c r="B82" s="2" t="s">
        <v>17</v>
      </c>
      <c r="C82" s="2" t="s">
        <v>18</v>
      </c>
      <c r="D82" s="2">
        <v>20</v>
      </c>
      <c r="E82" s="2">
        <v>20</v>
      </c>
      <c r="F82" s="2">
        <v>250</v>
      </c>
      <c r="G82" s="2">
        <v>1065</v>
      </c>
      <c r="H82" s="2">
        <v>1000000</v>
      </c>
      <c r="I82" s="2">
        <v>1335895</v>
      </c>
      <c r="J82" s="2">
        <v>1052</v>
      </c>
      <c r="K82" s="2">
        <v>3</v>
      </c>
    </row>
    <row r="83" spans="1:11" x14ac:dyDescent="0.25">
      <c r="A83" s="2" t="s">
        <v>23</v>
      </c>
      <c r="B83" s="2" t="s">
        <v>17</v>
      </c>
      <c r="C83" s="2" t="s">
        <v>18</v>
      </c>
      <c r="D83" s="2">
        <v>21</v>
      </c>
      <c r="E83" s="2">
        <v>21</v>
      </c>
      <c r="F83" s="2">
        <v>250</v>
      </c>
      <c r="G83" s="2">
        <v>1065</v>
      </c>
      <c r="H83" s="2">
        <v>1000000</v>
      </c>
      <c r="I83" s="2">
        <v>2659957</v>
      </c>
      <c r="J83" s="2">
        <v>1053</v>
      </c>
      <c r="K83" s="2">
        <v>3</v>
      </c>
    </row>
    <row r="84" spans="1:11" x14ac:dyDescent="0.25">
      <c r="A84" s="2" t="s">
        <v>23</v>
      </c>
      <c r="B84" s="2" t="s">
        <v>17</v>
      </c>
      <c r="C84" s="2" t="s">
        <v>18</v>
      </c>
      <c r="D84" s="2">
        <v>22</v>
      </c>
      <c r="E84" s="2">
        <v>22</v>
      </c>
      <c r="F84" s="2">
        <v>250</v>
      </c>
      <c r="G84" s="2">
        <v>1065</v>
      </c>
      <c r="H84" s="2">
        <v>1000000</v>
      </c>
      <c r="I84" s="2">
        <v>1085823</v>
      </c>
      <c r="J84" s="2">
        <v>1055</v>
      </c>
      <c r="K84" s="2">
        <v>3</v>
      </c>
    </row>
    <row r="85" spans="1:11" x14ac:dyDescent="0.25">
      <c r="A85" s="2" t="s">
        <v>23</v>
      </c>
      <c r="B85" s="2" t="s">
        <v>17</v>
      </c>
      <c r="C85" s="2" t="s">
        <v>18</v>
      </c>
      <c r="D85" s="2">
        <v>23</v>
      </c>
      <c r="E85" s="2">
        <v>23</v>
      </c>
      <c r="F85" s="2">
        <v>250</v>
      </c>
      <c r="G85" s="2">
        <v>1065</v>
      </c>
      <c r="H85" s="2">
        <v>1000000</v>
      </c>
      <c r="I85" s="2">
        <v>2196814</v>
      </c>
      <c r="J85" s="2">
        <v>1055</v>
      </c>
      <c r="K85" s="2">
        <v>3</v>
      </c>
    </row>
    <row r="86" spans="1:11" x14ac:dyDescent="0.25">
      <c r="A86" s="2" t="s">
        <v>23</v>
      </c>
      <c r="B86" s="2" t="s">
        <v>17</v>
      </c>
      <c r="C86" s="2" t="s">
        <v>18</v>
      </c>
      <c r="D86" s="2">
        <v>24</v>
      </c>
      <c r="E86" s="2">
        <v>24</v>
      </c>
      <c r="F86" s="2">
        <v>250</v>
      </c>
      <c r="G86" s="2">
        <v>1065</v>
      </c>
      <c r="H86" s="2">
        <v>1000000</v>
      </c>
      <c r="I86" s="2">
        <v>1455631</v>
      </c>
      <c r="J86" s="2">
        <v>1056</v>
      </c>
      <c r="K86" s="2">
        <v>3</v>
      </c>
    </row>
    <row r="87" spans="1:11" x14ac:dyDescent="0.25">
      <c r="A87" s="2" t="s">
        <v>23</v>
      </c>
      <c r="B87" s="2" t="s">
        <v>17</v>
      </c>
      <c r="C87" s="2" t="s">
        <v>18</v>
      </c>
      <c r="D87" s="2">
        <v>25</v>
      </c>
      <c r="E87" s="2">
        <v>25</v>
      </c>
      <c r="F87" s="2">
        <v>250</v>
      </c>
      <c r="G87" s="2">
        <v>1065</v>
      </c>
      <c r="H87" s="2">
        <v>1000000</v>
      </c>
      <c r="I87" s="2">
        <v>2688496</v>
      </c>
      <c r="J87" s="2">
        <v>1054</v>
      </c>
      <c r="K87" s="2">
        <v>3</v>
      </c>
    </row>
    <row r="88" spans="1:11" x14ac:dyDescent="0.25">
      <c r="A88" s="2" t="s">
        <v>23</v>
      </c>
      <c r="B88" s="2" t="s">
        <v>17</v>
      </c>
      <c r="C88" s="2" t="s">
        <v>18</v>
      </c>
      <c r="D88" s="2">
        <v>26</v>
      </c>
      <c r="E88" s="2">
        <v>26</v>
      </c>
      <c r="F88" s="2">
        <v>250</v>
      </c>
      <c r="G88" s="2">
        <v>1065</v>
      </c>
      <c r="H88" s="2">
        <v>1000000</v>
      </c>
      <c r="I88" s="2">
        <v>2760397</v>
      </c>
      <c r="J88" s="2">
        <v>1053</v>
      </c>
      <c r="K88" s="2">
        <v>3</v>
      </c>
    </row>
    <row r="89" spans="1:11" x14ac:dyDescent="0.25">
      <c r="A89" s="2" t="s">
        <v>23</v>
      </c>
      <c r="B89" s="2" t="s">
        <v>17</v>
      </c>
      <c r="C89" s="2" t="s">
        <v>18</v>
      </c>
      <c r="D89" s="2">
        <v>27</v>
      </c>
      <c r="E89" s="2">
        <v>27</v>
      </c>
      <c r="F89" s="2">
        <v>250</v>
      </c>
      <c r="G89" s="2">
        <v>1065</v>
      </c>
      <c r="H89" s="2">
        <v>1000000</v>
      </c>
      <c r="I89" s="2">
        <v>1125351</v>
      </c>
      <c r="J89" s="2">
        <v>1052</v>
      </c>
      <c r="K89" s="2">
        <v>3</v>
      </c>
    </row>
    <row r="90" spans="1:11" x14ac:dyDescent="0.25">
      <c r="A90" s="2" t="s">
        <v>23</v>
      </c>
      <c r="B90" s="2" t="s">
        <v>17</v>
      </c>
      <c r="C90" s="2" t="s">
        <v>18</v>
      </c>
      <c r="D90" s="2">
        <v>28</v>
      </c>
      <c r="E90" s="2">
        <v>28</v>
      </c>
      <c r="F90" s="2">
        <v>250</v>
      </c>
      <c r="G90" s="2">
        <v>1065</v>
      </c>
      <c r="H90" s="2">
        <v>1000000</v>
      </c>
      <c r="I90" s="2">
        <v>1820113</v>
      </c>
      <c r="J90" s="2">
        <v>1049</v>
      </c>
      <c r="K90" s="2">
        <v>3</v>
      </c>
    </row>
    <row r="91" spans="1:11" x14ac:dyDescent="0.25">
      <c r="A91" s="2" t="s">
        <v>23</v>
      </c>
      <c r="B91" s="2" t="s">
        <v>17</v>
      </c>
      <c r="C91" s="2" t="s">
        <v>18</v>
      </c>
      <c r="D91" s="2">
        <v>29</v>
      </c>
      <c r="E91" s="2">
        <v>29</v>
      </c>
      <c r="F91" s="2">
        <v>250</v>
      </c>
      <c r="G91" s="2">
        <v>1065</v>
      </c>
      <c r="H91" s="2">
        <v>1000000</v>
      </c>
      <c r="I91" s="2">
        <v>2245368</v>
      </c>
      <c r="J91" s="2">
        <v>1049</v>
      </c>
      <c r="K91" s="2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8052E-186F-4917-BD98-179B11D5F585}">
  <dimension ref="A1:K91"/>
  <sheetViews>
    <sheetView workbookViewId="0">
      <selection activeCell="J1" sqref="J1"/>
    </sheetView>
  </sheetViews>
  <sheetFormatPr defaultRowHeight="15" x14ac:dyDescent="0.25"/>
  <cols>
    <col min="1" max="1" width="14.7109375" customWidth="1"/>
    <col min="2" max="2" width="12.85546875" customWidth="1"/>
    <col min="3" max="3" width="14.7109375" customWidth="1"/>
    <col min="4" max="4" width="15.28515625" customWidth="1"/>
    <col min="5" max="5" width="9.7109375" customWidth="1"/>
    <col min="6" max="6" width="12.7109375" customWidth="1"/>
    <col min="7" max="7" width="12.5703125" customWidth="1"/>
    <col min="8" max="8" width="16.28515625" customWidth="1"/>
    <col min="9" max="9" width="19.42578125" customWidth="1"/>
    <col min="10" max="10" width="20.7109375" customWidth="1"/>
  </cols>
  <sheetData>
    <row r="1" spans="1:1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10</v>
      </c>
      <c r="I1" s="1" t="s">
        <v>11</v>
      </c>
      <c r="J1" s="1" t="s">
        <v>12</v>
      </c>
      <c r="K1" s="1" t="s">
        <v>20</v>
      </c>
    </row>
    <row r="2" spans="1:11" x14ac:dyDescent="0.25">
      <c r="A2" s="2" t="s">
        <v>24</v>
      </c>
      <c r="B2" s="2" t="s">
        <v>13</v>
      </c>
      <c r="C2" s="2" t="s">
        <v>14</v>
      </c>
      <c r="D2" s="2">
        <v>0</v>
      </c>
      <c r="E2" s="2">
        <v>0</v>
      </c>
      <c r="F2" s="2">
        <v>20</v>
      </c>
      <c r="G2" s="2">
        <v>91</v>
      </c>
      <c r="H2" s="2">
        <v>1000000</v>
      </c>
      <c r="I2" s="2">
        <v>1660</v>
      </c>
      <c r="J2" s="2">
        <v>91</v>
      </c>
      <c r="K2" s="2">
        <v>3</v>
      </c>
    </row>
    <row r="3" spans="1:11" x14ac:dyDescent="0.25">
      <c r="A3" s="2" t="s">
        <v>24</v>
      </c>
      <c r="B3" s="2" t="s">
        <v>13</v>
      </c>
      <c r="C3" s="2" t="s">
        <v>14</v>
      </c>
      <c r="D3" s="2">
        <v>1</v>
      </c>
      <c r="E3" s="2">
        <v>1</v>
      </c>
      <c r="F3" s="2">
        <v>20</v>
      </c>
      <c r="G3" s="2">
        <v>91</v>
      </c>
      <c r="H3" s="2">
        <v>1000000</v>
      </c>
      <c r="I3" s="2">
        <v>4415</v>
      </c>
      <c r="J3" s="2">
        <v>91</v>
      </c>
      <c r="K3" s="2">
        <v>3</v>
      </c>
    </row>
    <row r="4" spans="1:11" x14ac:dyDescent="0.25">
      <c r="A4" s="2" t="s">
        <v>24</v>
      </c>
      <c r="B4" s="2" t="s">
        <v>13</v>
      </c>
      <c r="C4" s="2" t="s">
        <v>14</v>
      </c>
      <c r="D4" s="2">
        <v>2</v>
      </c>
      <c r="E4" s="2">
        <v>2</v>
      </c>
      <c r="F4" s="2">
        <v>20</v>
      </c>
      <c r="G4" s="2">
        <v>91</v>
      </c>
      <c r="H4" s="2">
        <v>1000000</v>
      </c>
      <c r="I4" s="2">
        <v>7310</v>
      </c>
      <c r="J4" s="2">
        <v>91</v>
      </c>
      <c r="K4" s="2">
        <v>3</v>
      </c>
    </row>
    <row r="5" spans="1:11" x14ac:dyDescent="0.25">
      <c r="A5" s="2" t="s">
        <v>24</v>
      </c>
      <c r="B5" s="2" t="s">
        <v>13</v>
      </c>
      <c r="C5" s="2" t="s">
        <v>14</v>
      </c>
      <c r="D5" s="2">
        <v>3</v>
      </c>
      <c r="E5" s="2">
        <v>3</v>
      </c>
      <c r="F5" s="2">
        <v>20</v>
      </c>
      <c r="G5" s="2">
        <v>91</v>
      </c>
      <c r="H5" s="2">
        <v>1000000</v>
      </c>
      <c r="I5" s="2">
        <v>2984</v>
      </c>
      <c r="J5" s="2">
        <v>91</v>
      </c>
      <c r="K5" s="2">
        <v>3</v>
      </c>
    </row>
    <row r="6" spans="1:11" x14ac:dyDescent="0.25">
      <c r="A6" s="2" t="s">
        <v>24</v>
      </c>
      <c r="B6" s="2" t="s">
        <v>13</v>
      </c>
      <c r="C6" s="2" t="s">
        <v>14</v>
      </c>
      <c r="D6" s="2">
        <v>4</v>
      </c>
      <c r="E6" s="2">
        <v>4</v>
      </c>
      <c r="F6" s="2">
        <v>20</v>
      </c>
      <c r="G6" s="2">
        <v>91</v>
      </c>
      <c r="H6" s="2">
        <v>1000000</v>
      </c>
      <c r="I6" s="2">
        <v>2904</v>
      </c>
      <c r="J6" s="2">
        <v>91</v>
      </c>
      <c r="K6" s="2">
        <v>3</v>
      </c>
    </row>
    <row r="7" spans="1:11" x14ac:dyDescent="0.25">
      <c r="A7" s="2" t="s">
        <v>24</v>
      </c>
      <c r="B7" s="2" t="s">
        <v>13</v>
      </c>
      <c r="C7" s="2" t="s">
        <v>14</v>
      </c>
      <c r="D7" s="2">
        <v>5</v>
      </c>
      <c r="E7" s="2">
        <v>5</v>
      </c>
      <c r="F7" s="2">
        <v>20</v>
      </c>
      <c r="G7" s="2">
        <v>91</v>
      </c>
      <c r="H7" s="2">
        <v>1000000</v>
      </c>
      <c r="I7" s="2">
        <v>2974</v>
      </c>
      <c r="J7" s="2">
        <v>91</v>
      </c>
      <c r="K7" s="2">
        <v>3</v>
      </c>
    </row>
    <row r="8" spans="1:11" x14ac:dyDescent="0.25">
      <c r="A8" s="2" t="s">
        <v>24</v>
      </c>
      <c r="B8" s="2" t="s">
        <v>13</v>
      </c>
      <c r="C8" s="2" t="s">
        <v>14</v>
      </c>
      <c r="D8" s="2">
        <v>6</v>
      </c>
      <c r="E8" s="2">
        <v>6</v>
      </c>
      <c r="F8" s="2">
        <v>20</v>
      </c>
      <c r="G8" s="2">
        <v>91</v>
      </c>
      <c r="H8" s="2">
        <v>1000000</v>
      </c>
      <c r="I8" s="2">
        <v>1587</v>
      </c>
      <c r="J8" s="2">
        <v>91</v>
      </c>
      <c r="K8" s="2">
        <v>3</v>
      </c>
    </row>
    <row r="9" spans="1:11" x14ac:dyDescent="0.25">
      <c r="A9" s="2" t="s">
        <v>24</v>
      </c>
      <c r="B9" s="2" t="s">
        <v>13</v>
      </c>
      <c r="C9" s="2" t="s">
        <v>14</v>
      </c>
      <c r="D9" s="2">
        <v>7</v>
      </c>
      <c r="E9" s="2">
        <v>7</v>
      </c>
      <c r="F9" s="2">
        <v>20</v>
      </c>
      <c r="G9" s="2">
        <v>91</v>
      </c>
      <c r="H9" s="2">
        <v>1000000</v>
      </c>
      <c r="I9" s="2">
        <v>2171</v>
      </c>
      <c r="J9" s="2">
        <v>91</v>
      </c>
      <c r="K9" s="2">
        <v>3</v>
      </c>
    </row>
    <row r="10" spans="1:11" x14ac:dyDescent="0.25">
      <c r="A10" s="2" t="s">
        <v>24</v>
      </c>
      <c r="B10" s="2" t="s">
        <v>13</v>
      </c>
      <c r="C10" s="2" t="s">
        <v>14</v>
      </c>
      <c r="D10" s="2">
        <v>8</v>
      </c>
      <c r="E10" s="2">
        <v>8</v>
      </c>
      <c r="F10" s="2">
        <v>20</v>
      </c>
      <c r="G10" s="2">
        <v>91</v>
      </c>
      <c r="H10" s="2">
        <v>1000000</v>
      </c>
      <c r="I10" s="2">
        <v>1472</v>
      </c>
      <c r="J10" s="2">
        <v>91</v>
      </c>
      <c r="K10" s="2">
        <v>3</v>
      </c>
    </row>
    <row r="11" spans="1:11" x14ac:dyDescent="0.25">
      <c r="A11" s="2" t="s">
        <v>24</v>
      </c>
      <c r="B11" s="2" t="s">
        <v>13</v>
      </c>
      <c r="C11" s="2" t="s">
        <v>14</v>
      </c>
      <c r="D11" s="2">
        <v>9</v>
      </c>
      <c r="E11" s="2">
        <v>9</v>
      </c>
      <c r="F11" s="2">
        <v>20</v>
      </c>
      <c r="G11" s="2">
        <v>91</v>
      </c>
      <c r="H11" s="2">
        <v>1000000</v>
      </c>
      <c r="I11" s="2">
        <v>2849</v>
      </c>
      <c r="J11" s="2">
        <v>91</v>
      </c>
      <c r="K11" s="2">
        <v>3</v>
      </c>
    </row>
    <row r="12" spans="1:11" x14ac:dyDescent="0.25">
      <c r="A12" s="2" t="s">
        <v>24</v>
      </c>
      <c r="B12" s="2" t="s">
        <v>13</v>
      </c>
      <c r="C12" s="2" t="s">
        <v>14</v>
      </c>
      <c r="D12" s="2">
        <v>10</v>
      </c>
      <c r="E12" s="2">
        <v>10</v>
      </c>
      <c r="F12" s="2">
        <v>20</v>
      </c>
      <c r="G12" s="2">
        <v>91</v>
      </c>
      <c r="H12" s="2">
        <v>1000000</v>
      </c>
      <c r="I12" s="2">
        <v>1577</v>
      </c>
      <c r="J12" s="2">
        <v>91</v>
      </c>
      <c r="K12" s="2">
        <v>3</v>
      </c>
    </row>
    <row r="13" spans="1:11" x14ac:dyDescent="0.25">
      <c r="A13" s="2" t="s">
        <v>24</v>
      </c>
      <c r="B13" s="2" t="s">
        <v>13</v>
      </c>
      <c r="C13" s="2" t="s">
        <v>14</v>
      </c>
      <c r="D13" s="2">
        <v>11</v>
      </c>
      <c r="E13" s="2">
        <v>11</v>
      </c>
      <c r="F13" s="2">
        <v>20</v>
      </c>
      <c r="G13" s="2">
        <v>91</v>
      </c>
      <c r="H13" s="2">
        <v>1000000</v>
      </c>
      <c r="I13" s="2">
        <v>2740</v>
      </c>
      <c r="J13" s="2">
        <v>91</v>
      </c>
      <c r="K13" s="2">
        <v>3</v>
      </c>
    </row>
    <row r="14" spans="1:11" x14ac:dyDescent="0.25">
      <c r="A14" s="2" t="s">
        <v>24</v>
      </c>
      <c r="B14" s="2" t="s">
        <v>13</v>
      </c>
      <c r="C14" s="2" t="s">
        <v>14</v>
      </c>
      <c r="D14" s="2">
        <v>12</v>
      </c>
      <c r="E14" s="2">
        <v>12</v>
      </c>
      <c r="F14" s="2">
        <v>20</v>
      </c>
      <c r="G14" s="2">
        <v>91</v>
      </c>
      <c r="H14" s="2">
        <v>1000000</v>
      </c>
      <c r="I14" s="2">
        <v>1540</v>
      </c>
      <c r="J14" s="2">
        <v>91</v>
      </c>
      <c r="K14" s="2">
        <v>3</v>
      </c>
    </row>
    <row r="15" spans="1:11" x14ac:dyDescent="0.25">
      <c r="A15" s="2" t="s">
        <v>24</v>
      </c>
      <c r="B15" s="2" t="s">
        <v>13</v>
      </c>
      <c r="C15" s="2" t="s">
        <v>14</v>
      </c>
      <c r="D15" s="2">
        <v>13</v>
      </c>
      <c r="E15" s="2">
        <v>13</v>
      </c>
      <c r="F15" s="2">
        <v>20</v>
      </c>
      <c r="G15" s="2">
        <v>91</v>
      </c>
      <c r="H15" s="2">
        <v>1000000</v>
      </c>
      <c r="I15" s="2">
        <v>6020</v>
      </c>
      <c r="J15" s="2">
        <v>91</v>
      </c>
      <c r="K15" s="2">
        <v>3</v>
      </c>
    </row>
    <row r="16" spans="1:11" x14ac:dyDescent="0.25">
      <c r="A16" s="2" t="s">
        <v>24</v>
      </c>
      <c r="B16" s="2" t="s">
        <v>13</v>
      </c>
      <c r="C16" s="2" t="s">
        <v>14</v>
      </c>
      <c r="D16" s="2">
        <v>14</v>
      </c>
      <c r="E16" s="2">
        <v>14</v>
      </c>
      <c r="F16" s="2">
        <v>20</v>
      </c>
      <c r="G16" s="2">
        <v>91</v>
      </c>
      <c r="H16" s="2">
        <v>1000000</v>
      </c>
      <c r="I16" s="2">
        <v>5309</v>
      </c>
      <c r="J16" s="2">
        <v>91</v>
      </c>
      <c r="K16" s="2">
        <v>3</v>
      </c>
    </row>
    <row r="17" spans="1:11" x14ac:dyDescent="0.25">
      <c r="A17" s="2" t="s">
        <v>24</v>
      </c>
      <c r="B17" s="2" t="s">
        <v>13</v>
      </c>
      <c r="C17" s="2" t="s">
        <v>14</v>
      </c>
      <c r="D17" s="2">
        <v>15</v>
      </c>
      <c r="E17" s="2">
        <v>15</v>
      </c>
      <c r="F17" s="2">
        <v>20</v>
      </c>
      <c r="G17" s="2">
        <v>91</v>
      </c>
      <c r="H17" s="2">
        <v>1000000</v>
      </c>
      <c r="I17" s="2">
        <v>1455</v>
      </c>
      <c r="J17" s="2">
        <v>91</v>
      </c>
      <c r="K17" s="2">
        <v>3</v>
      </c>
    </row>
    <row r="18" spans="1:11" x14ac:dyDescent="0.25">
      <c r="A18" s="2" t="s">
        <v>24</v>
      </c>
      <c r="B18" s="2" t="s">
        <v>13</v>
      </c>
      <c r="C18" s="2" t="s">
        <v>14</v>
      </c>
      <c r="D18" s="2">
        <v>16</v>
      </c>
      <c r="E18" s="2">
        <v>16</v>
      </c>
      <c r="F18" s="2">
        <v>20</v>
      </c>
      <c r="G18" s="2">
        <v>91</v>
      </c>
      <c r="H18" s="2">
        <v>1000000</v>
      </c>
      <c r="I18" s="2">
        <v>4685</v>
      </c>
      <c r="J18" s="2">
        <v>91</v>
      </c>
      <c r="K18" s="2">
        <v>3</v>
      </c>
    </row>
    <row r="19" spans="1:11" x14ac:dyDescent="0.25">
      <c r="A19" s="2" t="s">
        <v>24</v>
      </c>
      <c r="B19" s="2" t="s">
        <v>13</v>
      </c>
      <c r="C19" s="2" t="s">
        <v>14</v>
      </c>
      <c r="D19" s="2">
        <v>17</v>
      </c>
      <c r="E19" s="2">
        <v>17</v>
      </c>
      <c r="F19" s="2">
        <v>20</v>
      </c>
      <c r="G19" s="2">
        <v>91</v>
      </c>
      <c r="H19" s="2">
        <v>1000000</v>
      </c>
      <c r="I19" s="2">
        <v>2914</v>
      </c>
      <c r="J19" s="2">
        <v>91</v>
      </c>
      <c r="K19" s="2">
        <v>3</v>
      </c>
    </row>
    <row r="20" spans="1:11" x14ac:dyDescent="0.25">
      <c r="A20" s="2" t="s">
        <v>24</v>
      </c>
      <c r="B20" s="2" t="s">
        <v>13</v>
      </c>
      <c r="C20" s="2" t="s">
        <v>14</v>
      </c>
      <c r="D20" s="2">
        <v>18</v>
      </c>
      <c r="E20" s="2">
        <v>18</v>
      </c>
      <c r="F20" s="2">
        <v>20</v>
      </c>
      <c r="G20" s="2">
        <v>91</v>
      </c>
      <c r="H20" s="2">
        <v>1000000</v>
      </c>
      <c r="I20" s="2">
        <v>2882</v>
      </c>
      <c r="J20" s="2">
        <v>91</v>
      </c>
      <c r="K20" s="2">
        <v>3</v>
      </c>
    </row>
    <row r="21" spans="1:11" x14ac:dyDescent="0.25">
      <c r="A21" s="2" t="s">
        <v>24</v>
      </c>
      <c r="B21" s="2" t="s">
        <v>13</v>
      </c>
      <c r="C21" s="2" t="s">
        <v>14</v>
      </c>
      <c r="D21" s="2">
        <v>19</v>
      </c>
      <c r="E21" s="2">
        <v>19</v>
      </c>
      <c r="F21" s="2">
        <v>20</v>
      </c>
      <c r="G21" s="2">
        <v>91</v>
      </c>
      <c r="H21" s="2">
        <v>1000000</v>
      </c>
      <c r="I21" s="2">
        <v>21521</v>
      </c>
      <c r="J21" s="2">
        <v>91</v>
      </c>
      <c r="K21" s="2">
        <v>3</v>
      </c>
    </row>
    <row r="22" spans="1:11" x14ac:dyDescent="0.25">
      <c r="A22" s="2" t="s">
        <v>24</v>
      </c>
      <c r="B22" s="2" t="s">
        <v>13</v>
      </c>
      <c r="C22" s="2" t="s">
        <v>14</v>
      </c>
      <c r="D22" s="2">
        <v>20</v>
      </c>
      <c r="E22" s="2">
        <v>20</v>
      </c>
      <c r="F22" s="2">
        <v>20</v>
      </c>
      <c r="G22" s="2">
        <v>91</v>
      </c>
      <c r="H22" s="2">
        <v>1000000</v>
      </c>
      <c r="I22" s="2">
        <v>1457</v>
      </c>
      <c r="J22" s="2">
        <v>91</v>
      </c>
      <c r="K22" s="2">
        <v>3</v>
      </c>
    </row>
    <row r="23" spans="1:11" x14ac:dyDescent="0.25">
      <c r="A23" s="2" t="s">
        <v>24</v>
      </c>
      <c r="B23" s="2" t="s">
        <v>13</v>
      </c>
      <c r="C23" s="2" t="s">
        <v>14</v>
      </c>
      <c r="D23" s="2">
        <v>21</v>
      </c>
      <c r="E23" s="2">
        <v>21</v>
      </c>
      <c r="F23" s="2">
        <v>20</v>
      </c>
      <c r="G23" s="2">
        <v>91</v>
      </c>
      <c r="H23" s="2">
        <v>1000000</v>
      </c>
      <c r="I23" s="2">
        <v>5615</v>
      </c>
      <c r="J23" s="2">
        <v>91</v>
      </c>
      <c r="K23" s="2">
        <v>3</v>
      </c>
    </row>
    <row r="24" spans="1:11" x14ac:dyDescent="0.25">
      <c r="A24" s="2" t="s">
        <v>24</v>
      </c>
      <c r="B24" s="2" t="s">
        <v>13</v>
      </c>
      <c r="C24" s="2" t="s">
        <v>14</v>
      </c>
      <c r="D24" s="2">
        <v>22</v>
      </c>
      <c r="E24" s="2">
        <v>22</v>
      </c>
      <c r="F24" s="2">
        <v>20</v>
      </c>
      <c r="G24" s="2">
        <v>91</v>
      </c>
      <c r="H24" s="2">
        <v>1000000</v>
      </c>
      <c r="I24" s="2">
        <v>5806</v>
      </c>
      <c r="J24" s="2">
        <v>91</v>
      </c>
      <c r="K24" s="2">
        <v>3</v>
      </c>
    </row>
    <row r="25" spans="1:11" x14ac:dyDescent="0.25">
      <c r="A25" s="2" t="s">
        <v>24</v>
      </c>
      <c r="B25" s="2" t="s">
        <v>13</v>
      </c>
      <c r="C25" s="2" t="s">
        <v>14</v>
      </c>
      <c r="D25" s="2">
        <v>23</v>
      </c>
      <c r="E25" s="2">
        <v>23</v>
      </c>
      <c r="F25" s="2">
        <v>20</v>
      </c>
      <c r="G25" s="2">
        <v>91</v>
      </c>
      <c r="H25" s="2">
        <v>1000000</v>
      </c>
      <c r="I25" s="2">
        <v>5413</v>
      </c>
      <c r="J25" s="2">
        <v>91</v>
      </c>
      <c r="K25" s="2">
        <v>3</v>
      </c>
    </row>
    <row r="26" spans="1:11" x14ac:dyDescent="0.25">
      <c r="A26" s="2" t="s">
        <v>24</v>
      </c>
      <c r="B26" s="2" t="s">
        <v>13</v>
      </c>
      <c r="C26" s="2" t="s">
        <v>14</v>
      </c>
      <c r="D26" s="2">
        <v>24</v>
      </c>
      <c r="E26" s="2">
        <v>24</v>
      </c>
      <c r="F26" s="2">
        <v>20</v>
      </c>
      <c r="G26" s="2">
        <v>91</v>
      </c>
      <c r="H26" s="2">
        <v>1000000</v>
      </c>
      <c r="I26" s="2">
        <v>5879</v>
      </c>
      <c r="J26" s="2">
        <v>91</v>
      </c>
      <c r="K26" s="2">
        <v>3</v>
      </c>
    </row>
    <row r="27" spans="1:11" x14ac:dyDescent="0.25">
      <c r="A27" s="2" t="s">
        <v>24</v>
      </c>
      <c r="B27" s="2" t="s">
        <v>13</v>
      </c>
      <c r="C27" s="2" t="s">
        <v>14</v>
      </c>
      <c r="D27" s="2">
        <v>25</v>
      </c>
      <c r="E27" s="2">
        <v>25</v>
      </c>
      <c r="F27" s="2">
        <v>20</v>
      </c>
      <c r="G27" s="2">
        <v>91</v>
      </c>
      <c r="H27" s="2">
        <v>1000000</v>
      </c>
      <c r="I27" s="2">
        <v>2126</v>
      </c>
      <c r="J27" s="2">
        <v>91</v>
      </c>
      <c r="K27" s="2">
        <v>3</v>
      </c>
    </row>
    <row r="28" spans="1:11" x14ac:dyDescent="0.25">
      <c r="A28" s="2" t="s">
        <v>24</v>
      </c>
      <c r="B28" s="2" t="s">
        <v>13</v>
      </c>
      <c r="C28" s="2" t="s">
        <v>14</v>
      </c>
      <c r="D28" s="2">
        <v>26</v>
      </c>
      <c r="E28" s="2">
        <v>26</v>
      </c>
      <c r="F28" s="2">
        <v>20</v>
      </c>
      <c r="G28" s="2">
        <v>91</v>
      </c>
      <c r="H28" s="2">
        <v>1000000</v>
      </c>
      <c r="I28" s="2">
        <v>7174</v>
      </c>
      <c r="J28" s="2">
        <v>91</v>
      </c>
      <c r="K28" s="2">
        <v>3</v>
      </c>
    </row>
    <row r="29" spans="1:11" x14ac:dyDescent="0.25">
      <c r="A29" s="2" t="s">
        <v>24</v>
      </c>
      <c r="B29" s="2" t="s">
        <v>13</v>
      </c>
      <c r="C29" s="2" t="s">
        <v>14</v>
      </c>
      <c r="D29" s="2">
        <v>27</v>
      </c>
      <c r="E29" s="2">
        <v>27</v>
      </c>
      <c r="F29" s="2">
        <v>20</v>
      </c>
      <c r="G29" s="2">
        <v>91</v>
      </c>
      <c r="H29" s="2">
        <v>1000000</v>
      </c>
      <c r="I29" s="2">
        <v>1845</v>
      </c>
      <c r="J29" s="2">
        <v>91</v>
      </c>
      <c r="K29" s="2">
        <v>3</v>
      </c>
    </row>
    <row r="30" spans="1:11" x14ac:dyDescent="0.25">
      <c r="A30" s="2" t="s">
        <v>24</v>
      </c>
      <c r="B30" s="2" t="s">
        <v>13</v>
      </c>
      <c r="C30" s="2" t="s">
        <v>14</v>
      </c>
      <c r="D30" s="2">
        <v>28</v>
      </c>
      <c r="E30" s="2">
        <v>28</v>
      </c>
      <c r="F30" s="2">
        <v>20</v>
      </c>
      <c r="G30" s="2">
        <v>91</v>
      </c>
      <c r="H30" s="2">
        <v>1000000</v>
      </c>
      <c r="I30" s="2">
        <v>9198</v>
      </c>
      <c r="J30" s="2">
        <v>91</v>
      </c>
      <c r="K30" s="2">
        <v>3</v>
      </c>
    </row>
    <row r="31" spans="1:11" x14ac:dyDescent="0.25">
      <c r="A31" s="2" t="s">
        <v>24</v>
      </c>
      <c r="B31" s="2" t="s">
        <v>13</v>
      </c>
      <c r="C31" s="2" t="s">
        <v>14</v>
      </c>
      <c r="D31" s="2">
        <v>29</v>
      </c>
      <c r="E31" s="2">
        <v>29</v>
      </c>
      <c r="F31" s="2">
        <v>20</v>
      </c>
      <c r="G31" s="2">
        <v>91</v>
      </c>
      <c r="H31" s="2">
        <v>1000000</v>
      </c>
      <c r="I31" s="2">
        <v>1481</v>
      </c>
      <c r="J31" s="2">
        <v>91</v>
      </c>
      <c r="K31" s="2">
        <v>3</v>
      </c>
    </row>
    <row r="32" spans="1:11" x14ac:dyDescent="0.25">
      <c r="A32" s="3" t="s">
        <v>24</v>
      </c>
      <c r="B32" s="3" t="s">
        <v>15</v>
      </c>
      <c r="C32" s="3" t="s">
        <v>16</v>
      </c>
      <c r="D32" s="3">
        <v>0</v>
      </c>
      <c r="E32" s="3">
        <v>0</v>
      </c>
      <c r="F32" s="3">
        <v>100</v>
      </c>
      <c r="G32" s="3">
        <v>430</v>
      </c>
      <c r="H32" s="3">
        <v>1000000</v>
      </c>
      <c r="I32" s="3">
        <v>1000000</v>
      </c>
      <c r="J32" s="3">
        <v>427</v>
      </c>
      <c r="K32" s="3">
        <v>3</v>
      </c>
    </row>
    <row r="33" spans="1:11" x14ac:dyDescent="0.25">
      <c r="A33" s="3" t="s">
        <v>24</v>
      </c>
      <c r="B33" s="3" t="s">
        <v>15</v>
      </c>
      <c r="C33" s="3" t="s">
        <v>16</v>
      </c>
      <c r="D33" s="3">
        <v>1</v>
      </c>
      <c r="E33" s="3">
        <v>1</v>
      </c>
      <c r="F33" s="3">
        <v>100</v>
      </c>
      <c r="G33" s="3">
        <v>430</v>
      </c>
      <c r="H33" s="3">
        <v>1000000</v>
      </c>
      <c r="I33" s="3">
        <v>1000000</v>
      </c>
      <c r="J33" s="3">
        <v>426</v>
      </c>
      <c r="K33" s="3">
        <v>3</v>
      </c>
    </row>
    <row r="34" spans="1:11" x14ac:dyDescent="0.25">
      <c r="A34" s="3" t="s">
        <v>24</v>
      </c>
      <c r="B34" s="3" t="s">
        <v>15</v>
      </c>
      <c r="C34" s="3" t="s">
        <v>16</v>
      </c>
      <c r="D34" s="3">
        <v>2</v>
      </c>
      <c r="E34" s="3">
        <v>2</v>
      </c>
      <c r="F34" s="3">
        <v>100</v>
      </c>
      <c r="G34" s="3">
        <v>430</v>
      </c>
      <c r="H34" s="3">
        <v>1000000</v>
      </c>
      <c r="I34" s="3">
        <v>1000000</v>
      </c>
      <c r="J34" s="3">
        <v>426</v>
      </c>
      <c r="K34" s="3">
        <v>3</v>
      </c>
    </row>
    <row r="35" spans="1:11" x14ac:dyDescent="0.25">
      <c r="A35" s="3" t="s">
        <v>24</v>
      </c>
      <c r="B35" s="3" t="s">
        <v>15</v>
      </c>
      <c r="C35" s="3" t="s">
        <v>16</v>
      </c>
      <c r="D35" s="3">
        <v>3</v>
      </c>
      <c r="E35" s="3">
        <v>3</v>
      </c>
      <c r="F35" s="3">
        <v>100</v>
      </c>
      <c r="G35" s="3">
        <v>430</v>
      </c>
      <c r="H35" s="3">
        <v>1000000</v>
      </c>
      <c r="I35" s="3">
        <v>1000000</v>
      </c>
      <c r="J35" s="3">
        <v>426</v>
      </c>
      <c r="K35" s="3">
        <v>3</v>
      </c>
    </row>
    <row r="36" spans="1:11" x14ac:dyDescent="0.25">
      <c r="A36" s="3" t="s">
        <v>24</v>
      </c>
      <c r="B36" s="3" t="s">
        <v>15</v>
      </c>
      <c r="C36" s="3" t="s">
        <v>16</v>
      </c>
      <c r="D36" s="3">
        <v>4</v>
      </c>
      <c r="E36" s="3">
        <v>4</v>
      </c>
      <c r="F36" s="3">
        <v>100</v>
      </c>
      <c r="G36" s="3">
        <v>430</v>
      </c>
      <c r="H36" s="3">
        <v>1000000</v>
      </c>
      <c r="I36" s="3">
        <v>1000000</v>
      </c>
      <c r="J36" s="3">
        <v>427</v>
      </c>
      <c r="K36" s="3">
        <v>3</v>
      </c>
    </row>
    <row r="37" spans="1:11" x14ac:dyDescent="0.25">
      <c r="A37" s="3" t="s">
        <v>24</v>
      </c>
      <c r="B37" s="3" t="s">
        <v>15</v>
      </c>
      <c r="C37" s="3" t="s">
        <v>16</v>
      </c>
      <c r="D37" s="3">
        <v>5</v>
      </c>
      <c r="E37" s="3">
        <v>5</v>
      </c>
      <c r="F37" s="3">
        <v>100</v>
      </c>
      <c r="G37" s="3">
        <v>430</v>
      </c>
      <c r="H37" s="3">
        <v>1000000</v>
      </c>
      <c r="I37" s="3">
        <v>1000000</v>
      </c>
      <c r="J37" s="3">
        <v>426</v>
      </c>
      <c r="K37" s="3">
        <v>3</v>
      </c>
    </row>
    <row r="38" spans="1:11" x14ac:dyDescent="0.25">
      <c r="A38" s="3" t="s">
        <v>24</v>
      </c>
      <c r="B38" s="3" t="s">
        <v>15</v>
      </c>
      <c r="C38" s="3" t="s">
        <v>16</v>
      </c>
      <c r="D38" s="3">
        <v>6</v>
      </c>
      <c r="E38" s="3">
        <v>6</v>
      </c>
      <c r="F38" s="3">
        <v>100</v>
      </c>
      <c r="G38" s="3">
        <v>430</v>
      </c>
      <c r="H38" s="3">
        <v>1000000</v>
      </c>
      <c r="I38" s="3">
        <v>1000000</v>
      </c>
      <c r="J38" s="3">
        <v>426</v>
      </c>
      <c r="K38" s="3">
        <v>3</v>
      </c>
    </row>
    <row r="39" spans="1:11" x14ac:dyDescent="0.25">
      <c r="A39" s="3" t="s">
        <v>24</v>
      </c>
      <c r="B39" s="3" t="s">
        <v>15</v>
      </c>
      <c r="C39" s="3" t="s">
        <v>16</v>
      </c>
      <c r="D39" s="3">
        <v>7</v>
      </c>
      <c r="E39" s="3">
        <v>7</v>
      </c>
      <c r="F39" s="3">
        <v>100</v>
      </c>
      <c r="G39" s="3">
        <v>430</v>
      </c>
      <c r="H39" s="3">
        <v>1000000</v>
      </c>
      <c r="I39" s="3">
        <v>1000000</v>
      </c>
      <c r="J39" s="3">
        <v>426</v>
      </c>
      <c r="K39" s="3">
        <v>3</v>
      </c>
    </row>
    <row r="40" spans="1:11" x14ac:dyDescent="0.25">
      <c r="A40" s="3" t="s">
        <v>24</v>
      </c>
      <c r="B40" s="3" t="s">
        <v>15</v>
      </c>
      <c r="C40" s="3" t="s">
        <v>16</v>
      </c>
      <c r="D40" s="3">
        <v>8</v>
      </c>
      <c r="E40" s="3">
        <v>8</v>
      </c>
      <c r="F40" s="3">
        <v>100</v>
      </c>
      <c r="G40" s="3">
        <v>430</v>
      </c>
      <c r="H40" s="3">
        <v>1000000</v>
      </c>
      <c r="I40" s="3">
        <v>1000000</v>
      </c>
      <c r="J40" s="3">
        <v>425</v>
      </c>
      <c r="K40" s="3">
        <v>3</v>
      </c>
    </row>
    <row r="41" spans="1:11" x14ac:dyDescent="0.25">
      <c r="A41" s="3" t="s">
        <v>24</v>
      </c>
      <c r="B41" s="3" t="s">
        <v>15</v>
      </c>
      <c r="C41" s="3" t="s">
        <v>16</v>
      </c>
      <c r="D41" s="3">
        <v>9</v>
      </c>
      <c r="E41" s="3">
        <v>9</v>
      </c>
      <c r="F41" s="3">
        <v>100</v>
      </c>
      <c r="G41" s="3">
        <v>430</v>
      </c>
      <c r="H41" s="3">
        <v>1000000</v>
      </c>
      <c r="I41" s="3">
        <v>1000000</v>
      </c>
      <c r="J41" s="3">
        <v>425</v>
      </c>
      <c r="K41" s="3">
        <v>3</v>
      </c>
    </row>
    <row r="42" spans="1:11" x14ac:dyDescent="0.25">
      <c r="A42" s="3" t="s">
        <v>24</v>
      </c>
      <c r="B42" s="3" t="s">
        <v>15</v>
      </c>
      <c r="C42" s="3" t="s">
        <v>16</v>
      </c>
      <c r="D42" s="3">
        <v>10</v>
      </c>
      <c r="E42" s="3">
        <v>10</v>
      </c>
      <c r="F42" s="3">
        <v>100</v>
      </c>
      <c r="G42" s="3">
        <v>430</v>
      </c>
      <c r="H42" s="3">
        <v>1000000</v>
      </c>
      <c r="I42" s="3">
        <v>1000000</v>
      </c>
      <c r="J42" s="3">
        <v>426</v>
      </c>
      <c r="K42" s="3">
        <v>3</v>
      </c>
    </row>
    <row r="43" spans="1:11" x14ac:dyDescent="0.25">
      <c r="A43" s="3" t="s">
        <v>24</v>
      </c>
      <c r="B43" s="3" t="s">
        <v>15</v>
      </c>
      <c r="C43" s="3" t="s">
        <v>16</v>
      </c>
      <c r="D43" s="3">
        <v>11</v>
      </c>
      <c r="E43" s="3">
        <v>11</v>
      </c>
      <c r="F43" s="3">
        <v>100</v>
      </c>
      <c r="G43" s="3">
        <v>430</v>
      </c>
      <c r="H43" s="3">
        <v>1000000</v>
      </c>
      <c r="I43" s="3">
        <v>1000000</v>
      </c>
      <c r="J43" s="3">
        <v>426</v>
      </c>
      <c r="K43" s="3">
        <v>3</v>
      </c>
    </row>
    <row r="44" spans="1:11" x14ac:dyDescent="0.25">
      <c r="A44" s="3" t="s">
        <v>24</v>
      </c>
      <c r="B44" s="3" t="s">
        <v>15</v>
      </c>
      <c r="C44" s="3" t="s">
        <v>16</v>
      </c>
      <c r="D44" s="3">
        <v>12</v>
      </c>
      <c r="E44" s="3">
        <v>12</v>
      </c>
      <c r="F44" s="3">
        <v>100</v>
      </c>
      <c r="G44" s="3">
        <v>430</v>
      </c>
      <c r="H44" s="3">
        <v>1000000</v>
      </c>
      <c r="I44" s="3">
        <v>1000000</v>
      </c>
      <c r="J44" s="3">
        <v>427</v>
      </c>
      <c r="K44" s="3">
        <v>3</v>
      </c>
    </row>
    <row r="45" spans="1:11" x14ac:dyDescent="0.25">
      <c r="A45" s="3" t="s">
        <v>24</v>
      </c>
      <c r="B45" s="3" t="s">
        <v>15</v>
      </c>
      <c r="C45" s="3" t="s">
        <v>16</v>
      </c>
      <c r="D45" s="3">
        <v>13</v>
      </c>
      <c r="E45" s="3">
        <v>13</v>
      </c>
      <c r="F45" s="3">
        <v>100</v>
      </c>
      <c r="G45" s="3">
        <v>430</v>
      </c>
      <c r="H45" s="3">
        <v>1000000</v>
      </c>
      <c r="I45" s="3">
        <v>1000000</v>
      </c>
      <c r="J45" s="3">
        <v>426</v>
      </c>
      <c r="K45" s="3">
        <v>3</v>
      </c>
    </row>
    <row r="46" spans="1:11" x14ac:dyDescent="0.25">
      <c r="A46" s="3" t="s">
        <v>24</v>
      </c>
      <c r="B46" s="3" t="s">
        <v>15</v>
      </c>
      <c r="C46" s="3" t="s">
        <v>16</v>
      </c>
      <c r="D46" s="3">
        <v>14</v>
      </c>
      <c r="E46" s="3">
        <v>14</v>
      </c>
      <c r="F46" s="3">
        <v>100</v>
      </c>
      <c r="G46" s="3">
        <v>430</v>
      </c>
      <c r="H46" s="3">
        <v>1000000</v>
      </c>
      <c r="I46" s="3">
        <v>1000000</v>
      </c>
      <c r="J46" s="3">
        <v>425</v>
      </c>
      <c r="K46" s="3">
        <v>3</v>
      </c>
    </row>
    <row r="47" spans="1:11" x14ac:dyDescent="0.25">
      <c r="A47" s="3" t="s">
        <v>24</v>
      </c>
      <c r="B47" s="3" t="s">
        <v>15</v>
      </c>
      <c r="C47" s="3" t="s">
        <v>16</v>
      </c>
      <c r="D47" s="3">
        <v>15</v>
      </c>
      <c r="E47" s="3">
        <v>15</v>
      </c>
      <c r="F47" s="3">
        <v>100</v>
      </c>
      <c r="G47" s="3">
        <v>430</v>
      </c>
      <c r="H47" s="3">
        <v>1000000</v>
      </c>
      <c r="I47" s="3">
        <v>1000000</v>
      </c>
      <c r="J47" s="3">
        <v>428</v>
      </c>
      <c r="K47" s="3">
        <v>3</v>
      </c>
    </row>
    <row r="48" spans="1:11" x14ac:dyDescent="0.25">
      <c r="A48" s="3" t="s">
        <v>24</v>
      </c>
      <c r="B48" s="3" t="s">
        <v>15</v>
      </c>
      <c r="C48" s="3" t="s">
        <v>16</v>
      </c>
      <c r="D48" s="3">
        <v>16</v>
      </c>
      <c r="E48" s="3">
        <v>16</v>
      </c>
      <c r="F48" s="3">
        <v>100</v>
      </c>
      <c r="G48" s="3">
        <v>430</v>
      </c>
      <c r="H48" s="3">
        <v>1000000</v>
      </c>
      <c r="I48" s="3">
        <v>1000000</v>
      </c>
      <c r="J48" s="3">
        <v>428</v>
      </c>
      <c r="K48" s="3">
        <v>3</v>
      </c>
    </row>
    <row r="49" spans="1:11" x14ac:dyDescent="0.25">
      <c r="A49" s="3" t="s">
        <v>24</v>
      </c>
      <c r="B49" s="3" t="s">
        <v>15</v>
      </c>
      <c r="C49" s="3" t="s">
        <v>16</v>
      </c>
      <c r="D49" s="3">
        <v>17</v>
      </c>
      <c r="E49" s="3">
        <v>17</v>
      </c>
      <c r="F49" s="3">
        <v>100</v>
      </c>
      <c r="G49" s="3">
        <v>430</v>
      </c>
      <c r="H49" s="3">
        <v>1000000</v>
      </c>
      <c r="I49" s="3">
        <v>1000000</v>
      </c>
      <c r="J49" s="3">
        <v>427</v>
      </c>
      <c r="K49" s="3">
        <v>3</v>
      </c>
    </row>
    <row r="50" spans="1:11" x14ac:dyDescent="0.25">
      <c r="A50" s="3" t="s">
        <v>24</v>
      </c>
      <c r="B50" s="3" t="s">
        <v>15</v>
      </c>
      <c r="C50" s="3" t="s">
        <v>16</v>
      </c>
      <c r="D50" s="3">
        <v>18</v>
      </c>
      <c r="E50" s="3">
        <v>18</v>
      </c>
      <c r="F50" s="3">
        <v>100</v>
      </c>
      <c r="G50" s="3">
        <v>430</v>
      </c>
      <c r="H50" s="3">
        <v>1000000</v>
      </c>
      <c r="I50" s="3">
        <v>1000000</v>
      </c>
      <c r="J50" s="3">
        <v>428</v>
      </c>
      <c r="K50" s="3">
        <v>3</v>
      </c>
    </row>
    <row r="51" spans="1:11" x14ac:dyDescent="0.25">
      <c r="A51" s="3" t="s">
        <v>24</v>
      </c>
      <c r="B51" s="3" t="s">
        <v>15</v>
      </c>
      <c r="C51" s="3" t="s">
        <v>16</v>
      </c>
      <c r="D51" s="3">
        <v>19</v>
      </c>
      <c r="E51" s="3">
        <v>19</v>
      </c>
      <c r="F51" s="3">
        <v>100</v>
      </c>
      <c r="G51" s="3">
        <v>430</v>
      </c>
      <c r="H51" s="3">
        <v>1000000</v>
      </c>
      <c r="I51" s="3">
        <v>1000000</v>
      </c>
      <c r="J51" s="3">
        <v>426</v>
      </c>
      <c r="K51" s="3">
        <v>3</v>
      </c>
    </row>
    <row r="52" spans="1:11" x14ac:dyDescent="0.25">
      <c r="A52" s="3" t="s">
        <v>24</v>
      </c>
      <c r="B52" s="3" t="s">
        <v>15</v>
      </c>
      <c r="C52" s="3" t="s">
        <v>16</v>
      </c>
      <c r="D52" s="3">
        <v>20</v>
      </c>
      <c r="E52" s="3">
        <v>20</v>
      </c>
      <c r="F52" s="3">
        <v>100</v>
      </c>
      <c r="G52" s="3">
        <v>430</v>
      </c>
      <c r="H52" s="3">
        <v>1000000</v>
      </c>
      <c r="I52" s="3">
        <v>1000000</v>
      </c>
      <c r="J52" s="3">
        <v>426</v>
      </c>
      <c r="K52" s="3">
        <v>3</v>
      </c>
    </row>
    <row r="53" spans="1:11" x14ac:dyDescent="0.25">
      <c r="A53" s="3" t="s">
        <v>24</v>
      </c>
      <c r="B53" s="3" t="s">
        <v>15</v>
      </c>
      <c r="C53" s="3" t="s">
        <v>16</v>
      </c>
      <c r="D53" s="3">
        <v>21</v>
      </c>
      <c r="E53" s="3">
        <v>21</v>
      </c>
      <c r="F53" s="3">
        <v>100</v>
      </c>
      <c r="G53" s="3">
        <v>430</v>
      </c>
      <c r="H53" s="3">
        <v>1000000</v>
      </c>
      <c r="I53" s="3">
        <v>1000000</v>
      </c>
      <c r="J53" s="3">
        <v>424</v>
      </c>
      <c r="K53" s="3">
        <v>3</v>
      </c>
    </row>
    <row r="54" spans="1:11" x14ac:dyDescent="0.25">
      <c r="A54" s="3" t="s">
        <v>24</v>
      </c>
      <c r="B54" s="3" t="s">
        <v>15</v>
      </c>
      <c r="C54" s="3" t="s">
        <v>16</v>
      </c>
      <c r="D54" s="3">
        <v>22</v>
      </c>
      <c r="E54" s="3">
        <v>22</v>
      </c>
      <c r="F54" s="3">
        <v>100</v>
      </c>
      <c r="G54" s="3">
        <v>430</v>
      </c>
      <c r="H54" s="3">
        <v>1000000</v>
      </c>
      <c r="I54" s="3">
        <v>1000000</v>
      </c>
      <c r="J54" s="3">
        <v>427</v>
      </c>
      <c r="K54" s="3">
        <v>3</v>
      </c>
    </row>
    <row r="55" spans="1:11" x14ac:dyDescent="0.25">
      <c r="A55" s="3" t="s">
        <v>24</v>
      </c>
      <c r="B55" s="3" t="s">
        <v>15</v>
      </c>
      <c r="C55" s="3" t="s">
        <v>16</v>
      </c>
      <c r="D55" s="3">
        <v>23</v>
      </c>
      <c r="E55" s="3">
        <v>23</v>
      </c>
      <c r="F55" s="3">
        <v>100</v>
      </c>
      <c r="G55" s="3">
        <v>430</v>
      </c>
      <c r="H55" s="3">
        <v>1000000</v>
      </c>
      <c r="I55" s="3">
        <v>1000000</v>
      </c>
      <c r="J55" s="3">
        <v>426</v>
      </c>
      <c r="K55" s="3">
        <v>3</v>
      </c>
    </row>
    <row r="56" spans="1:11" x14ac:dyDescent="0.25">
      <c r="A56" s="3" t="s">
        <v>24</v>
      </c>
      <c r="B56" s="3" t="s">
        <v>15</v>
      </c>
      <c r="C56" s="3" t="s">
        <v>16</v>
      </c>
      <c r="D56" s="3">
        <v>24</v>
      </c>
      <c r="E56" s="3">
        <v>24</v>
      </c>
      <c r="F56" s="3">
        <v>100</v>
      </c>
      <c r="G56" s="3">
        <v>430</v>
      </c>
      <c r="H56" s="3">
        <v>1000000</v>
      </c>
      <c r="I56" s="3">
        <v>1000000</v>
      </c>
      <c r="J56" s="3">
        <v>426</v>
      </c>
      <c r="K56" s="3">
        <v>3</v>
      </c>
    </row>
    <row r="57" spans="1:11" x14ac:dyDescent="0.25">
      <c r="A57" s="3" t="s">
        <v>24</v>
      </c>
      <c r="B57" s="3" t="s">
        <v>15</v>
      </c>
      <c r="C57" s="3" t="s">
        <v>16</v>
      </c>
      <c r="D57" s="3">
        <v>25</v>
      </c>
      <c r="E57" s="3">
        <v>25</v>
      </c>
      <c r="F57" s="3">
        <v>100</v>
      </c>
      <c r="G57" s="3">
        <v>430</v>
      </c>
      <c r="H57" s="3">
        <v>1000000</v>
      </c>
      <c r="I57" s="3">
        <v>1000000</v>
      </c>
      <c r="J57" s="3">
        <v>428</v>
      </c>
      <c r="K57" s="3">
        <v>3</v>
      </c>
    </row>
    <row r="58" spans="1:11" x14ac:dyDescent="0.25">
      <c r="A58" s="3" t="s">
        <v>24</v>
      </c>
      <c r="B58" s="3" t="s">
        <v>15</v>
      </c>
      <c r="C58" s="3" t="s">
        <v>16</v>
      </c>
      <c r="D58" s="3">
        <v>26</v>
      </c>
      <c r="E58" s="3">
        <v>26</v>
      </c>
      <c r="F58" s="3">
        <v>100</v>
      </c>
      <c r="G58" s="3">
        <v>430</v>
      </c>
      <c r="H58" s="3">
        <v>1000000</v>
      </c>
      <c r="I58" s="3">
        <v>1000000</v>
      </c>
      <c r="J58" s="3">
        <v>425</v>
      </c>
      <c r="K58" s="3">
        <v>3</v>
      </c>
    </row>
    <row r="59" spans="1:11" x14ac:dyDescent="0.25">
      <c r="A59" s="3" t="s">
        <v>24</v>
      </c>
      <c r="B59" s="3" t="s">
        <v>15</v>
      </c>
      <c r="C59" s="3" t="s">
        <v>16</v>
      </c>
      <c r="D59" s="3">
        <v>27</v>
      </c>
      <c r="E59" s="3">
        <v>27</v>
      </c>
      <c r="F59" s="3">
        <v>100</v>
      </c>
      <c r="G59" s="3">
        <v>430</v>
      </c>
      <c r="H59" s="3">
        <v>1000000</v>
      </c>
      <c r="I59" s="3">
        <v>1000000</v>
      </c>
      <c r="J59" s="3">
        <v>426</v>
      </c>
      <c r="K59" s="3">
        <v>3</v>
      </c>
    </row>
    <row r="60" spans="1:11" x14ac:dyDescent="0.25">
      <c r="A60" s="3" t="s">
        <v>24</v>
      </c>
      <c r="B60" s="3" t="s">
        <v>15</v>
      </c>
      <c r="C60" s="3" t="s">
        <v>16</v>
      </c>
      <c r="D60" s="3">
        <v>28</v>
      </c>
      <c r="E60" s="3">
        <v>28</v>
      </c>
      <c r="F60" s="3">
        <v>100</v>
      </c>
      <c r="G60" s="3">
        <v>430</v>
      </c>
      <c r="H60" s="3">
        <v>1000000</v>
      </c>
      <c r="I60" s="3">
        <v>1000000</v>
      </c>
      <c r="J60" s="3">
        <v>425</v>
      </c>
      <c r="K60" s="3">
        <v>3</v>
      </c>
    </row>
    <row r="61" spans="1:11" x14ac:dyDescent="0.25">
      <c r="A61" s="3" t="s">
        <v>24</v>
      </c>
      <c r="B61" s="3" t="s">
        <v>15</v>
      </c>
      <c r="C61" s="3" t="s">
        <v>16</v>
      </c>
      <c r="D61" s="3">
        <v>29</v>
      </c>
      <c r="E61" s="3">
        <v>29</v>
      </c>
      <c r="F61" s="3">
        <v>100</v>
      </c>
      <c r="G61" s="3">
        <v>430</v>
      </c>
      <c r="H61" s="3">
        <v>1000000</v>
      </c>
      <c r="I61" s="3">
        <v>1000000</v>
      </c>
      <c r="J61" s="3">
        <v>425</v>
      </c>
      <c r="K61" s="3">
        <v>3</v>
      </c>
    </row>
    <row r="62" spans="1:11" x14ac:dyDescent="0.25">
      <c r="A62" s="2" t="s">
        <v>24</v>
      </c>
      <c r="B62" s="2" t="s">
        <v>17</v>
      </c>
      <c r="C62" s="2" t="s">
        <v>18</v>
      </c>
      <c r="D62" s="2">
        <v>0</v>
      </c>
      <c r="E62" s="2">
        <v>0</v>
      </c>
      <c r="F62" s="2">
        <v>250</v>
      </c>
      <c r="G62" s="2">
        <v>1065</v>
      </c>
      <c r="H62" s="2">
        <v>1000000</v>
      </c>
      <c r="I62" s="2">
        <v>1000000</v>
      </c>
      <c r="J62" s="2">
        <v>1054</v>
      </c>
      <c r="K62" s="2">
        <v>3</v>
      </c>
    </row>
    <row r="63" spans="1:11" x14ac:dyDescent="0.25">
      <c r="A63" s="2" t="s">
        <v>24</v>
      </c>
      <c r="B63" s="2" t="s">
        <v>17</v>
      </c>
      <c r="C63" s="2" t="s">
        <v>18</v>
      </c>
      <c r="D63" s="2">
        <v>1</v>
      </c>
      <c r="E63" s="2">
        <v>1</v>
      </c>
      <c r="F63" s="2">
        <v>250</v>
      </c>
      <c r="G63" s="2">
        <v>1065</v>
      </c>
      <c r="H63" s="2">
        <v>1000000</v>
      </c>
      <c r="I63" s="2">
        <v>1000000</v>
      </c>
      <c r="J63" s="2">
        <v>1053</v>
      </c>
      <c r="K63" s="2">
        <v>3</v>
      </c>
    </row>
    <row r="64" spans="1:11" x14ac:dyDescent="0.25">
      <c r="A64" s="2" t="s">
        <v>24</v>
      </c>
      <c r="B64" s="2" t="s">
        <v>17</v>
      </c>
      <c r="C64" s="2" t="s">
        <v>18</v>
      </c>
      <c r="D64" s="2">
        <v>2</v>
      </c>
      <c r="E64" s="2">
        <v>2</v>
      </c>
      <c r="F64" s="2">
        <v>250</v>
      </c>
      <c r="G64" s="2">
        <v>1065</v>
      </c>
      <c r="H64" s="2">
        <v>1000000</v>
      </c>
      <c r="I64" s="2">
        <v>1000000</v>
      </c>
      <c r="J64" s="2">
        <v>1047</v>
      </c>
      <c r="K64" s="2">
        <v>3</v>
      </c>
    </row>
    <row r="65" spans="1:11" x14ac:dyDescent="0.25">
      <c r="A65" s="2" t="s">
        <v>24</v>
      </c>
      <c r="B65" s="2" t="s">
        <v>17</v>
      </c>
      <c r="C65" s="2" t="s">
        <v>18</v>
      </c>
      <c r="D65" s="2">
        <v>3</v>
      </c>
      <c r="E65" s="2">
        <v>3</v>
      </c>
      <c r="F65" s="2">
        <v>250</v>
      </c>
      <c r="G65" s="2">
        <v>1065</v>
      </c>
      <c r="H65" s="2">
        <v>1000000</v>
      </c>
      <c r="I65" s="2">
        <v>1000000</v>
      </c>
      <c r="J65" s="2">
        <v>1047</v>
      </c>
      <c r="K65" s="2">
        <v>3</v>
      </c>
    </row>
    <row r="66" spans="1:11" x14ac:dyDescent="0.25">
      <c r="A66" s="2" t="s">
        <v>24</v>
      </c>
      <c r="B66" s="2" t="s">
        <v>17</v>
      </c>
      <c r="C66" s="2" t="s">
        <v>18</v>
      </c>
      <c r="D66" s="2">
        <v>4</v>
      </c>
      <c r="E66" s="2">
        <v>4</v>
      </c>
      <c r="F66" s="2">
        <v>250</v>
      </c>
      <c r="G66" s="2">
        <v>1065</v>
      </c>
      <c r="H66" s="2">
        <v>1000000</v>
      </c>
      <c r="I66" s="2">
        <v>1000000</v>
      </c>
      <c r="J66" s="2">
        <v>1055</v>
      </c>
      <c r="K66" s="2">
        <v>3</v>
      </c>
    </row>
    <row r="67" spans="1:11" x14ac:dyDescent="0.25">
      <c r="A67" s="2" t="s">
        <v>24</v>
      </c>
      <c r="B67" s="2" t="s">
        <v>17</v>
      </c>
      <c r="C67" s="2" t="s">
        <v>18</v>
      </c>
      <c r="D67" s="2">
        <v>5</v>
      </c>
      <c r="E67" s="2">
        <v>5</v>
      </c>
      <c r="F67" s="2">
        <v>250</v>
      </c>
      <c r="G67" s="2">
        <v>1065</v>
      </c>
      <c r="H67" s="2">
        <v>1000000</v>
      </c>
      <c r="I67" s="2">
        <v>1000000</v>
      </c>
      <c r="J67" s="2">
        <v>1052</v>
      </c>
      <c r="K67" s="2">
        <v>3</v>
      </c>
    </row>
    <row r="68" spans="1:11" x14ac:dyDescent="0.25">
      <c r="A68" s="2" t="s">
        <v>24</v>
      </c>
      <c r="B68" s="2" t="s">
        <v>17</v>
      </c>
      <c r="C68" s="2" t="s">
        <v>18</v>
      </c>
      <c r="D68" s="2">
        <v>6</v>
      </c>
      <c r="E68" s="2">
        <v>6</v>
      </c>
      <c r="F68" s="2">
        <v>250</v>
      </c>
      <c r="G68" s="2">
        <v>1065</v>
      </c>
      <c r="H68" s="2">
        <v>1000000</v>
      </c>
      <c r="I68" s="2">
        <v>1000000</v>
      </c>
      <c r="J68" s="2">
        <v>1052</v>
      </c>
      <c r="K68" s="2">
        <v>3</v>
      </c>
    </row>
    <row r="69" spans="1:11" x14ac:dyDescent="0.25">
      <c r="A69" s="2" t="s">
        <v>24</v>
      </c>
      <c r="B69" s="2" t="s">
        <v>17</v>
      </c>
      <c r="C69" s="2" t="s">
        <v>18</v>
      </c>
      <c r="D69" s="2">
        <v>7</v>
      </c>
      <c r="E69" s="2">
        <v>7</v>
      </c>
      <c r="F69" s="2">
        <v>250</v>
      </c>
      <c r="G69" s="2">
        <v>1065</v>
      </c>
      <c r="H69" s="2">
        <v>1000000</v>
      </c>
      <c r="I69" s="2">
        <v>1000000</v>
      </c>
      <c r="J69" s="2">
        <v>1051</v>
      </c>
      <c r="K69" s="2">
        <v>3</v>
      </c>
    </row>
    <row r="70" spans="1:11" x14ac:dyDescent="0.25">
      <c r="A70" s="2" t="s">
        <v>24</v>
      </c>
      <c r="B70" s="2" t="s">
        <v>17</v>
      </c>
      <c r="C70" s="2" t="s">
        <v>18</v>
      </c>
      <c r="D70" s="2">
        <v>8</v>
      </c>
      <c r="E70" s="2">
        <v>8</v>
      </c>
      <c r="F70" s="2">
        <v>250</v>
      </c>
      <c r="G70" s="2">
        <v>1065</v>
      </c>
      <c r="H70" s="2">
        <v>1000000</v>
      </c>
      <c r="I70" s="2">
        <v>1000000</v>
      </c>
      <c r="J70" s="2">
        <v>1059</v>
      </c>
      <c r="K70" s="2">
        <v>3</v>
      </c>
    </row>
    <row r="71" spans="1:11" x14ac:dyDescent="0.25">
      <c r="A71" s="2" t="s">
        <v>24</v>
      </c>
      <c r="B71" s="2" t="s">
        <v>17</v>
      </c>
      <c r="C71" s="2" t="s">
        <v>18</v>
      </c>
      <c r="D71" s="2">
        <v>9</v>
      </c>
      <c r="E71" s="2">
        <v>9</v>
      </c>
      <c r="F71" s="2">
        <v>250</v>
      </c>
      <c r="G71" s="2">
        <v>1065</v>
      </c>
      <c r="H71" s="2">
        <v>1000000</v>
      </c>
      <c r="I71" s="2">
        <v>1000000</v>
      </c>
      <c r="J71" s="2">
        <v>1055</v>
      </c>
      <c r="K71" s="2">
        <v>3</v>
      </c>
    </row>
    <row r="72" spans="1:11" x14ac:dyDescent="0.25">
      <c r="A72" s="2" t="s">
        <v>24</v>
      </c>
      <c r="B72" s="2" t="s">
        <v>17</v>
      </c>
      <c r="C72" s="2" t="s">
        <v>18</v>
      </c>
      <c r="D72" s="2">
        <v>10</v>
      </c>
      <c r="E72" s="2">
        <v>10</v>
      </c>
      <c r="F72" s="2">
        <v>250</v>
      </c>
      <c r="G72" s="2">
        <v>1065</v>
      </c>
      <c r="H72" s="2">
        <v>1000000</v>
      </c>
      <c r="I72" s="2">
        <v>1000000</v>
      </c>
      <c r="J72" s="2">
        <v>1053</v>
      </c>
      <c r="K72" s="2">
        <v>3</v>
      </c>
    </row>
    <row r="73" spans="1:11" x14ac:dyDescent="0.25">
      <c r="A73" s="2" t="s">
        <v>24</v>
      </c>
      <c r="B73" s="2" t="s">
        <v>17</v>
      </c>
      <c r="C73" s="2" t="s">
        <v>18</v>
      </c>
      <c r="D73" s="2">
        <v>11</v>
      </c>
      <c r="E73" s="2">
        <v>11</v>
      </c>
      <c r="F73" s="2">
        <v>250</v>
      </c>
      <c r="G73" s="2">
        <v>1065</v>
      </c>
      <c r="H73" s="2">
        <v>1000000</v>
      </c>
      <c r="I73" s="2">
        <v>1000000</v>
      </c>
      <c r="J73" s="2">
        <v>1052</v>
      </c>
      <c r="K73" s="2">
        <v>3</v>
      </c>
    </row>
    <row r="74" spans="1:11" x14ac:dyDescent="0.25">
      <c r="A74" s="2" t="s">
        <v>24</v>
      </c>
      <c r="B74" s="2" t="s">
        <v>17</v>
      </c>
      <c r="C74" s="2" t="s">
        <v>18</v>
      </c>
      <c r="D74" s="2">
        <v>12</v>
      </c>
      <c r="E74" s="2">
        <v>12</v>
      </c>
      <c r="F74" s="2">
        <v>250</v>
      </c>
      <c r="G74" s="2">
        <v>1065</v>
      </c>
      <c r="H74" s="2">
        <v>1000000</v>
      </c>
      <c r="I74" s="2">
        <v>1000000</v>
      </c>
      <c r="J74" s="2">
        <v>1049</v>
      </c>
      <c r="K74" s="2">
        <v>3</v>
      </c>
    </row>
    <row r="75" spans="1:11" x14ac:dyDescent="0.25">
      <c r="A75" s="2" t="s">
        <v>24</v>
      </c>
      <c r="B75" s="2" t="s">
        <v>17</v>
      </c>
      <c r="C75" s="2" t="s">
        <v>18</v>
      </c>
      <c r="D75" s="2">
        <v>13</v>
      </c>
      <c r="E75" s="2">
        <v>13</v>
      </c>
      <c r="F75" s="2">
        <v>250</v>
      </c>
      <c r="G75" s="2">
        <v>1065</v>
      </c>
      <c r="H75" s="2">
        <v>1000000</v>
      </c>
      <c r="I75" s="2">
        <v>1000000</v>
      </c>
      <c r="J75" s="2">
        <v>1056</v>
      </c>
      <c r="K75" s="2">
        <v>3</v>
      </c>
    </row>
    <row r="76" spans="1:11" x14ac:dyDescent="0.25">
      <c r="A76" s="2" t="s">
        <v>24</v>
      </c>
      <c r="B76" s="2" t="s">
        <v>17</v>
      </c>
      <c r="C76" s="2" t="s">
        <v>18</v>
      </c>
      <c r="D76" s="2">
        <v>14</v>
      </c>
      <c r="E76" s="2">
        <v>14</v>
      </c>
      <c r="F76" s="2">
        <v>250</v>
      </c>
      <c r="G76" s="2">
        <v>1065</v>
      </c>
      <c r="H76" s="2">
        <v>1000000</v>
      </c>
      <c r="I76" s="2">
        <v>1000000</v>
      </c>
      <c r="J76" s="2">
        <v>1052</v>
      </c>
      <c r="K76" s="2">
        <v>3</v>
      </c>
    </row>
    <row r="77" spans="1:11" x14ac:dyDescent="0.25">
      <c r="A77" s="2" t="s">
        <v>24</v>
      </c>
      <c r="B77" s="2" t="s">
        <v>17</v>
      </c>
      <c r="C77" s="2" t="s">
        <v>18</v>
      </c>
      <c r="D77" s="2">
        <v>15</v>
      </c>
      <c r="E77" s="2">
        <v>15</v>
      </c>
      <c r="F77" s="2">
        <v>250</v>
      </c>
      <c r="G77" s="2">
        <v>1065</v>
      </c>
      <c r="H77" s="2">
        <v>1000000</v>
      </c>
      <c r="I77" s="2">
        <v>1000000</v>
      </c>
      <c r="J77" s="2">
        <v>1051</v>
      </c>
      <c r="K77" s="2">
        <v>3</v>
      </c>
    </row>
    <row r="78" spans="1:11" x14ac:dyDescent="0.25">
      <c r="A78" s="2" t="s">
        <v>24</v>
      </c>
      <c r="B78" s="2" t="s">
        <v>17</v>
      </c>
      <c r="C78" s="2" t="s">
        <v>18</v>
      </c>
      <c r="D78" s="2">
        <v>16</v>
      </c>
      <c r="E78" s="2">
        <v>16</v>
      </c>
      <c r="F78" s="2">
        <v>250</v>
      </c>
      <c r="G78" s="2">
        <v>1065</v>
      </c>
      <c r="H78" s="2">
        <v>1000000</v>
      </c>
      <c r="I78" s="2">
        <v>1000000</v>
      </c>
      <c r="J78" s="2">
        <v>1051</v>
      </c>
      <c r="K78" s="2">
        <v>3</v>
      </c>
    </row>
    <row r="79" spans="1:11" x14ac:dyDescent="0.25">
      <c r="A79" s="2" t="s">
        <v>24</v>
      </c>
      <c r="B79" s="2" t="s">
        <v>17</v>
      </c>
      <c r="C79" s="2" t="s">
        <v>18</v>
      </c>
      <c r="D79" s="2">
        <v>17</v>
      </c>
      <c r="E79" s="2">
        <v>17</v>
      </c>
      <c r="F79" s="2">
        <v>250</v>
      </c>
      <c r="G79" s="2">
        <v>1065</v>
      </c>
      <c r="H79" s="2">
        <v>1000000</v>
      </c>
      <c r="I79" s="2">
        <v>1000000</v>
      </c>
      <c r="J79" s="2">
        <v>1055</v>
      </c>
      <c r="K79" s="2">
        <v>3</v>
      </c>
    </row>
    <row r="80" spans="1:11" x14ac:dyDescent="0.25">
      <c r="A80" s="2" t="s">
        <v>24</v>
      </c>
      <c r="B80" s="2" t="s">
        <v>17</v>
      </c>
      <c r="C80" s="2" t="s">
        <v>18</v>
      </c>
      <c r="D80" s="2">
        <v>18</v>
      </c>
      <c r="E80" s="2">
        <v>18</v>
      </c>
      <c r="F80" s="2">
        <v>250</v>
      </c>
      <c r="G80" s="2">
        <v>1065</v>
      </c>
      <c r="H80" s="2">
        <v>1000000</v>
      </c>
      <c r="I80" s="2">
        <v>1000000</v>
      </c>
      <c r="J80" s="2">
        <v>1050</v>
      </c>
      <c r="K80" s="2">
        <v>3</v>
      </c>
    </row>
    <row r="81" spans="1:11" x14ac:dyDescent="0.25">
      <c r="A81" s="2" t="s">
        <v>24</v>
      </c>
      <c r="B81" s="2" t="s">
        <v>17</v>
      </c>
      <c r="C81" s="2" t="s">
        <v>18</v>
      </c>
      <c r="D81" s="2">
        <v>19</v>
      </c>
      <c r="E81" s="2">
        <v>19</v>
      </c>
      <c r="F81" s="2">
        <v>250</v>
      </c>
      <c r="G81" s="2">
        <v>1065</v>
      </c>
      <c r="H81" s="2">
        <v>1000000</v>
      </c>
      <c r="I81" s="2">
        <v>1000000</v>
      </c>
      <c r="J81" s="2">
        <v>1050</v>
      </c>
      <c r="K81" s="2">
        <v>3</v>
      </c>
    </row>
    <row r="82" spans="1:11" x14ac:dyDescent="0.25">
      <c r="A82" s="2" t="s">
        <v>24</v>
      </c>
      <c r="B82" s="2" t="s">
        <v>17</v>
      </c>
      <c r="C82" s="2" t="s">
        <v>18</v>
      </c>
      <c r="D82" s="2">
        <v>20</v>
      </c>
      <c r="E82" s="2">
        <v>20</v>
      </c>
      <c r="F82" s="2">
        <v>250</v>
      </c>
      <c r="G82" s="2">
        <v>1065</v>
      </c>
      <c r="H82" s="2">
        <v>1000000</v>
      </c>
      <c r="I82" s="2">
        <v>1000000</v>
      </c>
      <c r="J82" s="2">
        <v>1051</v>
      </c>
      <c r="K82" s="2">
        <v>3</v>
      </c>
    </row>
    <row r="83" spans="1:11" x14ac:dyDescent="0.25">
      <c r="A83" s="2" t="s">
        <v>24</v>
      </c>
      <c r="B83" s="2" t="s">
        <v>17</v>
      </c>
      <c r="C83" s="2" t="s">
        <v>18</v>
      </c>
      <c r="D83" s="2">
        <v>21</v>
      </c>
      <c r="E83" s="2">
        <v>21</v>
      </c>
      <c r="F83" s="2">
        <v>250</v>
      </c>
      <c r="G83" s="2">
        <v>1065</v>
      </c>
      <c r="H83" s="2">
        <v>1000000</v>
      </c>
      <c r="I83" s="2">
        <v>1000000</v>
      </c>
      <c r="J83" s="2">
        <v>1053</v>
      </c>
      <c r="K83" s="2">
        <v>3</v>
      </c>
    </row>
    <row r="84" spans="1:11" x14ac:dyDescent="0.25">
      <c r="A84" s="2" t="s">
        <v>24</v>
      </c>
      <c r="B84" s="2" t="s">
        <v>17</v>
      </c>
      <c r="C84" s="2" t="s">
        <v>18</v>
      </c>
      <c r="D84" s="2">
        <v>22</v>
      </c>
      <c r="E84" s="2">
        <v>22</v>
      </c>
      <c r="F84" s="2">
        <v>250</v>
      </c>
      <c r="G84" s="2">
        <v>1065</v>
      </c>
      <c r="H84" s="2">
        <v>1000000</v>
      </c>
      <c r="I84" s="2">
        <v>1000000</v>
      </c>
      <c r="J84" s="2">
        <v>1054</v>
      </c>
      <c r="K84" s="2">
        <v>3</v>
      </c>
    </row>
    <row r="85" spans="1:11" x14ac:dyDescent="0.25">
      <c r="A85" s="2" t="s">
        <v>24</v>
      </c>
      <c r="B85" s="2" t="s">
        <v>17</v>
      </c>
      <c r="C85" s="2" t="s">
        <v>18</v>
      </c>
      <c r="D85" s="2">
        <v>23</v>
      </c>
      <c r="E85" s="2">
        <v>23</v>
      </c>
      <c r="F85" s="2">
        <v>250</v>
      </c>
      <c r="G85" s="2">
        <v>1065</v>
      </c>
      <c r="H85" s="2">
        <v>1000000</v>
      </c>
      <c r="I85" s="2">
        <v>1000000</v>
      </c>
      <c r="J85" s="2">
        <v>1054</v>
      </c>
      <c r="K85" s="2">
        <v>3</v>
      </c>
    </row>
    <row r="86" spans="1:11" x14ac:dyDescent="0.25">
      <c r="A86" s="2" t="s">
        <v>24</v>
      </c>
      <c r="B86" s="2" t="s">
        <v>17</v>
      </c>
      <c r="C86" s="2" t="s">
        <v>18</v>
      </c>
      <c r="D86" s="2">
        <v>24</v>
      </c>
      <c r="E86" s="2">
        <v>24</v>
      </c>
      <c r="F86" s="2">
        <v>250</v>
      </c>
      <c r="G86" s="2">
        <v>1065</v>
      </c>
      <c r="H86" s="2">
        <v>1000000</v>
      </c>
      <c r="I86" s="2">
        <v>1000000</v>
      </c>
      <c r="J86" s="2">
        <v>1055</v>
      </c>
      <c r="K86" s="2">
        <v>3</v>
      </c>
    </row>
    <row r="87" spans="1:11" x14ac:dyDescent="0.25">
      <c r="A87" s="2" t="s">
        <v>24</v>
      </c>
      <c r="B87" s="2" t="s">
        <v>17</v>
      </c>
      <c r="C87" s="2" t="s">
        <v>18</v>
      </c>
      <c r="D87" s="2">
        <v>25</v>
      </c>
      <c r="E87" s="2">
        <v>25</v>
      </c>
      <c r="F87" s="2">
        <v>250</v>
      </c>
      <c r="G87" s="2">
        <v>1065</v>
      </c>
      <c r="H87" s="2">
        <v>1000000</v>
      </c>
      <c r="I87" s="2">
        <v>1000000</v>
      </c>
      <c r="J87" s="2">
        <v>1053</v>
      </c>
      <c r="K87" s="2">
        <v>3</v>
      </c>
    </row>
    <row r="88" spans="1:11" x14ac:dyDescent="0.25">
      <c r="A88" s="2" t="s">
        <v>24</v>
      </c>
      <c r="B88" s="2" t="s">
        <v>17</v>
      </c>
      <c r="C88" s="2" t="s">
        <v>18</v>
      </c>
      <c r="D88" s="2">
        <v>26</v>
      </c>
      <c r="E88" s="2">
        <v>26</v>
      </c>
      <c r="F88" s="2">
        <v>250</v>
      </c>
      <c r="G88" s="2">
        <v>1065</v>
      </c>
      <c r="H88" s="2">
        <v>1000000</v>
      </c>
      <c r="I88" s="2">
        <v>1000000</v>
      </c>
      <c r="J88" s="2">
        <v>1053</v>
      </c>
      <c r="K88" s="2">
        <v>3</v>
      </c>
    </row>
    <row r="89" spans="1:11" x14ac:dyDescent="0.25">
      <c r="A89" s="2" t="s">
        <v>24</v>
      </c>
      <c r="B89" s="2" t="s">
        <v>17</v>
      </c>
      <c r="C89" s="2" t="s">
        <v>18</v>
      </c>
      <c r="D89" s="2">
        <v>27</v>
      </c>
      <c r="E89" s="2">
        <v>27</v>
      </c>
      <c r="F89" s="2">
        <v>250</v>
      </c>
      <c r="G89" s="2">
        <v>1065</v>
      </c>
      <c r="H89" s="2">
        <v>1000000</v>
      </c>
      <c r="I89" s="2">
        <v>1000000</v>
      </c>
      <c r="J89" s="2">
        <v>1051</v>
      </c>
      <c r="K89" s="2">
        <v>3</v>
      </c>
    </row>
    <row r="90" spans="1:11" x14ac:dyDescent="0.25">
      <c r="A90" s="2" t="s">
        <v>24</v>
      </c>
      <c r="B90" s="2" t="s">
        <v>17</v>
      </c>
      <c r="C90" s="2" t="s">
        <v>18</v>
      </c>
      <c r="D90" s="2">
        <v>28</v>
      </c>
      <c r="E90" s="2">
        <v>28</v>
      </c>
      <c r="F90" s="2">
        <v>250</v>
      </c>
      <c r="G90" s="2">
        <v>1065</v>
      </c>
      <c r="H90" s="2">
        <v>1000000</v>
      </c>
      <c r="I90" s="2">
        <v>1000000</v>
      </c>
      <c r="J90" s="2">
        <v>1048</v>
      </c>
      <c r="K90" s="2">
        <v>3</v>
      </c>
    </row>
    <row r="91" spans="1:11" x14ac:dyDescent="0.25">
      <c r="A91" s="2" t="s">
        <v>24</v>
      </c>
      <c r="B91" s="2" t="s">
        <v>17</v>
      </c>
      <c r="C91" s="2" t="s">
        <v>18</v>
      </c>
      <c r="D91" s="2">
        <v>29</v>
      </c>
      <c r="E91" s="2">
        <v>29</v>
      </c>
      <c r="F91" s="2">
        <v>250</v>
      </c>
      <c r="G91" s="2">
        <v>1065</v>
      </c>
      <c r="H91" s="2">
        <v>1000000</v>
      </c>
      <c r="I91" s="2">
        <v>1000000</v>
      </c>
      <c r="J91" s="2">
        <v>1048</v>
      </c>
      <c r="K91" s="2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4F034-CEBC-4BA9-8ED5-AE42337630F1}">
  <dimension ref="B1:U46"/>
  <sheetViews>
    <sheetView tabSelected="1" topLeftCell="A37" workbookViewId="0">
      <selection activeCell="Q64" sqref="Q64"/>
    </sheetView>
  </sheetViews>
  <sheetFormatPr defaultRowHeight="15" x14ac:dyDescent="0.25"/>
  <cols>
    <col min="2" max="2" width="11.28515625" customWidth="1"/>
    <col min="3" max="3" width="10.7109375" customWidth="1"/>
    <col min="4" max="4" width="25.7109375" customWidth="1"/>
    <col min="5" max="5" width="16.28515625" customWidth="1"/>
    <col min="6" max="6" width="10.5703125" customWidth="1"/>
    <col min="7" max="7" width="11.42578125" customWidth="1"/>
    <col min="9" max="9" width="10.7109375" customWidth="1"/>
    <col min="13" max="13" width="9.5703125" customWidth="1"/>
    <col min="14" max="14" width="9" customWidth="1"/>
    <col min="15" max="15" width="26.85546875" customWidth="1"/>
    <col min="16" max="16" width="16.85546875" customWidth="1"/>
    <col min="17" max="17" width="11.7109375" customWidth="1"/>
    <col min="18" max="18" width="12.7109375" customWidth="1"/>
    <col min="20" max="20" width="12.85546875" customWidth="1"/>
  </cols>
  <sheetData>
    <row r="1" spans="2:21" x14ac:dyDescent="0.25">
      <c r="B1" s="5" t="s">
        <v>37</v>
      </c>
      <c r="C1" s="5"/>
      <c r="D1" s="5"/>
      <c r="E1" s="5"/>
      <c r="F1" s="5"/>
      <c r="G1" s="5"/>
      <c r="H1" s="5"/>
      <c r="I1" s="5"/>
      <c r="J1" s="5"/>
      <c r="M1" s="5" t="s">
        <v>37</v>
      </c>
      <c r="N1" s="5"/>
      <c r="O1" s="5"/>
      <c r="P1" s="5"/>
      <c r="Q1" s="5"/>
      <c r="R1" s="5"/>
      <c r="S1" s="5"/>
      <c r="T1" s="5"/>
      <c r="U1" s="5"/>
    </row>
    <row r="2" spans="2:21" x14ac:dyDescent="0.25">
      <c r="B2" s="4" t="s">
        <v>29</v>
      </c>
      <c r="C2" s="4" t="s">
        <v>26</v>
      </c>
      <c r="D2" s="4" t="s">
        <v>39</v>
      </c>
      <c r="E2" s="4" t="s">
        <v>27</v>
      </c>
      <c r="F2" s="4" t="s">
        <v>28</v>
      </c>
      <c r="G2" s="4" t="s">
        <v>32</v>
      </c>
      <c r="H2" s="4" t="s">
        <v>30</v>
      </c>
      <c r="I2" s="4" t="s">
        <v>33</v>
      </c>
      <c r="J2" s="4" t="s">
        <v>31</v>
      </c>
      <c r="M2" s="4" t="s">
        <v>29</v>
      </c>
      <c r="N2" s="4" t="s">
        <v>26</v>
      </c>
      <c r="O2" s="4" t="s">
        <v>43</v>
      </c>
      <c r="P2" s="4" t="s">
        <v>27</v>
      </c>
      <c r="Q2" s="4" t="s">
        <v>28</v>
      </c>
      <c r="R2" s="4" t="s">
        <v>32</v>
      </c>
      <c r="S2" s="4" t="s">
        <v>30</v>
      </c>
      <c r="T2" s="4" t="s">
        <v>33</v>
      </c>
      <c r="U2" s="4" t="s">
        <v>31</v>
      </c>
    </row>
    <row r="3" spans="2:21" x14ac:dyDescent="0.25">
      <c r="B3" s="4" t="s">
        <v>25</v>
      </c>
      <c r="C3" s="4" t="s">
        <v>34</v>
      </c>
      <c r="D3" s="4">
        <f>AVERAGE(PSO!L2:L31)</f>
        <v>90.13333333333334</v>
      </c>
      <c r="E3" s="4">
        <f>_xlfn.STDEV.P(PSO!L2:L31)</f>
        <v>0.71802197428460035</v>
      </c>
      <c r="F3" s="4">
        <f>MIN(PSO!L2:L31)</f>
        <v>89</v>
      </c>
      <c r="G3" s="4">
        <f>_xlfn.QUARTILE.INC(PSO!L2:L31, 1)</f>
        <v>90</v>
      </c>
      <c r="H3" s="4">
        <f>MEDIAN(PSO!L2:L31)</f>
        <v>90</v>
      </c>
      <c r="I3" s="4">
        <f>_xlfn.QUARTILE.INC(PSO!L2:L31, 3)</f>
        <v>91</v>
      </c>
      <c r="J3" s="4">
        <f>MAX(PSO!L2:L31)</f>
        <v>91</v>
      </c>
      <c r="M3" s="4" t="s">
        <v>25</v>
      </c>
      <c r="N3" s="4" t="s">
        <v>34</v>
      </c>
      <c r="O3" s="4">
        <f>AVERAGE(PSO!K2:K31)</f>
        <v>669803.66666666663</v>
      </c>
      <c r="P3" s="4">
        <f>_xlfn.STDEV.P(PSO!K2:K31)</f>
        <v>467047.65231885656</v>
      </c>
      <c r="Q3" s="4">
        <f>MIN(PSO!K2:K31)</f>
        <v>90</v>
      </c>
      <c r="R3" s="4">
        <f>_xlfn.QUARTILE.INC(PSO!K2:K31, 1)</f>
        <v>13327.5</v>
      </c>
      <c r="S3" s="4">
        <f>MEDIAN(PSO!K2:K31)</f>
        <v>1000000</v>
      </c>
      <c r="T3" s="4">
        <f>_xlfn.QUARTILE.INC(PSO!K2:K31, 3)</f>
        <v>1000000</v>
      </c>
      <c r="U3" s="4">
        <f>MAX(PSO!K2:K31)</f>
        <v>1000000</v>
      </c>
    </row>
    <row r="4" spans="2:21" x14ac:dyDescent="0.25">
      <c r="B4" s="4" t="s">
        <v>25</v>
      </c>
      <c r="C4" s="4" t="s">
        <v>35</v>
      </c>
      <c r="D4" s="4">
        <f>AVERAGE(PSO!L32:L61)</f>
        <v>420.66666666666669</v>
      </c>
      <c r="E4" s="4">
        <f>_xlfn.STDEV.P(PSO!L32:L61)</f>
        <v>3.5433819375782156</v>
      </c>
      <c r="F4" s="4">
        <f>MIN(PSO!L32:L61)</f>
        <v>409</v>
      </c>
      <c r="G4" s="4">
        <f>_xlfn.QUARTILE.INC(PSO!L32:L61, 1)</f>
        <v>418.25</v>
      </c>
      <c r="H4" s="4">
        <f>MEDIAN(PSO!L32:L61)</f>
        <v>421.5</v>
      </c>
      <c r="I4" s="4">
        <f>_xlfn.QUARTILE.INC(PSO!L32:L61, 3)</f>
        <v>423</v>
      </c>
      <c r="J4" s="4">
        <f>MAX(PSO!L32:L61)</f>
        <v>425</v>
      </c>
      <c r="M4" s="4" t="s">
        <v>25</v>
      </c>
      <c r="N4" s="4" t="s">
        <v>35</v>
      </c>
      <c r="O4" s="4">
        <f>AVERAGE(PSO!K32:K61)</f>
        <v>1000000</v>
      </c>
      <c r="P4" s="4">
        <f>_xlfn.STDEV.P(PSO!K32:K61)</f>
        <v>0</v>
      </c>
      <c r="Q4" s="4">
        <f>MIN(PSO!K32:K61)</f>
        <v>1000000</v>
      </c>
      <c r="R4" s="4">
        <f>_xlfn.QUARTILE.INC(PSO!K32:K61, 1)</f>
        <v>1000000</v>
      </c>
      <c r="S4" s="4">
        <f>MEDIAN(PSO!K32:K61)</f>
        <v>1000000</v>
      </c>
      <c r="T4" s="4">
        <f>_xlfn.QUARTILE.INC(PSO!K32:K61, 3)</f>
        <v>1000000</v>
      </c>
      <c r="U4" s="4">
        <f>MAX(PSO!K32:K61)</f>
        <v>1000000</v>
      </c>
    </row>
    <row r="5" spans="2:21" x14ac:dyDescent="0.25">
      <c r="B5" s="4" t="s">
        <v>25</v>
      </c>
      <c r="C5" s="4" t="s">
        <v>36</v>
      </c>
      <c r="D5" s="4">
        <f>AVERAGE(PSO!L62:L91)</f>
        <v>1040.5333333333333</v>
      </c>
      <c r="E5" s="4">
        <f>_xlfn.STDEV.P(PSO!L62:L91)</f>
        <v>5.0644732094156515</v>
      </c>
      <c r="F5" s="4">
        <f>MIN(PSO!L62:L91)</f>
        <v>1030</v>
      </c>
      <c r="G5" s="4">
        <f>_xlfn.QUARTILE.INC(PSO!L62:L91, 1)</f>
        <v>1038</v>
      </c>
      <c r="H5" s="4">
        <f>MEDIAN(PSO!L62:L91)</f>
        <v>1041</v>
      </c>
      <c r="I5" s="4">
        <f>_xlfn.QUARTILE.INC(PSO!L62:L91, 3)</f>
        <v>1044</v>
      </c>
      <c r="J5" s="4">
        <f>MAX(PSO!L62:L91)</f>
        <v>1049</v>
      </c>
      <c r="M5" s="4" t="s">
        <v>25</v>
      </c>
      <c r="N5" s="4" t="s">
        <v>36</v>
      </c>
      <c r="O5" s="4">
        <f>AVERAGE(PSO!K62:K91)</f>
        <v>1000000</v>
      </c>
      <c r="P5" s="4">
        <f>_xlfn.STDEV.P(PSO!K62:K91)</f>
        <v>0</v>
      </c>
      <c r="Q5" s="4">
        <f>MIN(PSO!K62:K91)</f>
        <v>1000000</v>
      </c>
      <c r="R5" s="4">
        <f>_xlfn.QUARTILE.INC(PSO!K62:K91, 1)</f>
        <v>1000000</v>
      </c>
      <c r="S5" s="4">
        <f>MEDIAN(PSO!K62:K91)</f>
        <v>1000000</v>
      </c>
      <c r="T5" s="4">
        <f>_xlfn.QUARTILE.INC(PSO!K62:K91, 3)</f>
        <v>1000000</v>
      </c>
      <c r="U5" s="4">
        <f>MAX(PSO!K62:K91)</f>
        <v>1000000</v>
      </c>
    </row>
    <row r="9" spans="2:21" x14ac:dyDescent="0.25">
      <c r="B9" s="5" t="s">
        <v>38</v>
      </c>
      <c r="C9" s="5"/>
      <c r="D9" s="5"/>
      <c r="E9" s="5"/>
      <c r="F9" s="5"/>
      <c r="G9" s="5"/>
      <c r="H9" s="5"/>
      <c r="I9" s="5"/>
      <c r="J9" s="5"/>
      <c r="M9" s="5" t="s">
        <v>38</v>
      </c>
      <c r="N9" s="5"/>
      <c r="O9" s="5"/>
      <c r="P9" s="5"/>
      <c r="Q9" s="5"/>
      <c r="R9" s="5"/>
      <c r="S9" s="5"/>
      <c r="T9" s="5"/>
      <c r="U9" s="5"/>
    </row>
    <row r="10" spans="2:21" x14ac:dyDescent="0.25">
      <c r="B10" s="4" t="s">
        <v>29</v>
      </c>
      <c r="C10" s="4" t="s">
        <v>26</v>
      </c>
      <c r="D10" s="4" t="s">
        <v>39</v>
      </c>
      <c r="E10" s="4" t="s">
        <v>27</v>
      </c>
      <c r="F10" s="4" t="s">
        <v>28</v>
      </c>
      <c r="G10" s="4" t="s">
        <v>32</v>
      </c>
      <c r="H10" s="4" t="s">
        <v>30</v>
      </c>
      <c r="I10" s="4" t="s">
        <v>33</v>
      </c>
      <c r="J10" s="4" t="s">
        <v>31</v>
      </c>
      <c r="M10" s="4" t="s">
        <v>29</v>
      </c>
      <c r="N10" s="4" t="s">
        <v>26</v>
      </c>
      <c r="O10" s="4" t="s">
        <v>43</v>
      </c>
      <c r="P10" s="4" t="s">
        <v>27</v>
      </c>
      <c r="Q10" s="4" t="s">
        <v>28</v>
      </c>
      <c r="R10" s="4" t="s">
        <v>32</v>
      </c>
      <c r="S10" s="4" t="s">
        <v>30</v>
      </c>
      <c r="T10" s="4" t="s">
        <v>33</v>
      </c>
      <c r="U10" s="4" t="s">
        <v>31</v>
      </c>
    </row>
    <row r="11" spans="2:21" x14ac:dyDescent="0.25">
      <c r="B11" s="4" t="s">
        <v>0</v>
      </c>
      <c r="C11" s="4" t="s">
        <v>34</v>
      </c>
      <c r="D11" s="4">
        <f>AVERAGE(SA!H2:H31)</f>
        <v>91</v>
      </c>
      <c r="E11" s="4">
        <f>_xlfn.STDEV.P(SA!H2:H31)</f>
        <v>0</v>
      </c>
      <c r="F11" s="4">
        <f>MIN(SA!H2:H31)</f>
        <v>91</v>
      </c>
      <c r="G11" s="4">
        <f>_xlfn.QUARTILE.INC(SA!H2:H31,1)</f>
        <v>91</v>
      </c>
      <c r="H11" s="4">
        <f>MEDIAN(SA!H2:H31)</f>
        <v>91</v>
      </c>
      <c r="I11" s="4">
        <f>_xlfn.QUARTILE.INC(SA!H2:H31, 3)</f>
        <v>91</v>
      </c>
      <c r="J11" s="4">
        <f>MAX(SA!H2:H31)</f>
        <v>91</v>
      </c>
      <c r="M11" s="4" t="s">
        <v>0</v>
      </c>
      <c r="N11" s="4" t="s">
        <v>34</v>
      </c>
      <c r="O11" s="4">
        <f>AVERAGE(SA!I2:I31)</f>
        <v>1366.0666666666666</v>
      </c>
      <c r="P11" s="4">
        <f>_xlfn.STDEV.P(SA!I2:I31)</f>
        <v>1131.5373887866995</v>
      </c>
      <c r="Q11" s="4">
        <f>MIN(SA!I2:I31)</f>
        <v>88</v>
      </c>
      <c r="R11" s="4">
        <f>_xlfn.QUARTILE.INC(SA!I2:I31,1)</f>
        <v>325.25</v>
      </c>
      <c r="S11" s="4">
        <f>MEDIAN(SA!I2:I31)</f>
        <v>1105</v>
      </c>
      <c r="T11" s="4">
        <f>_xlfn.QUARTILE.INC(SA!I2:I31, 3)</f>
        <v>2052.75</v>
      </c>
      <c r="U11" s="4">
        <f>MAX(SA!I2:I31)</f>
        <v>4450</v>
      </c>
    </row>
    <row r="12" spans="2:21" x14ac:dyDescent="0.25">
      <c r="B12" s="4" t="s">
        <v>0</v>
      </c>
      <c r="C12" s="4" t="s">
        <v>35</v>
      </c>
      <c r="D12" s="4">
        <f>AVERAGE(SA!H32:H61)</f>
        <v>429.8</v>
      </c>
      <c r="E12" s="4">
        <f>_xlfn.STDEV.P(SA!H32:H61)</f>
        <v>0.40000000000000008</v>
      </c>
      <c r="F12" s="4">
        <f>MIN(SA!H32:H61)</f>
        <v>429</v>
      </c>
      <c r="G12" s="4">
        <f>_xlfn.QUARTILE.INC(SA!H32:H61, 1)</f>
        <v>430</v>
      </c>
      <c r="H12" s="4">
        <f>MEDIAN(SA!H32:H61)</f>
        <v>430</v>
      </c>
      <c r="I12" s="4">
        <f>_xlfn.QUARTILE.INC(SA!H32:H61, 3)</f>
        <v>430</v>
      </c>
      <c r="J12" s="4">
        <f>MAX(SA!H32:H61)</f>
        <v>430</v>
      </c>
      <c r="M12" s="4" t="s">
        <v>0</v>
      </c>
      <c r="N12" s="4" t="s">
        <v>35</v>
      </c>
      <c r="O12" s="4">
        <f>AVERAGE(SA!I32:I61)</f>
        <v>340740.93333333335</v>
      </c>
      <c r="P12" s="4">
        <f>_xlfn.STDEV.P(SA!I32:I61)</f>
        <v>331359.61530980538</v>
      </c>
      <c r="Q12" s="4">
        <f>MIN(SA!I32:I61)</f>
        <v>118141</v>
      </c>
      <c r="R12" s="4">
        <f>_xlfn.QUARTILE.INC(SA!I32:I61, 1)</f>
        <v>152437.5</v>
      </c>
      <c r="S12" s="4">
        <f>MEDIAN(SA!I32:I61)</f>
        <v>179716</v>
      </c>
      <c r="T12" s="4">
        <f>_xlfn.QUARTILE.INC(SA!I32:I61, 3)</f>
        <v>233340</v>
      </c>
      <c r="U12" s="4">
        <f>MAX(SA!I32:I61)</f>
        <v>1000000</v>
      </c>
    </row>
    <row r="13" spans="2:21" x14ac:dyDescent="0.25">
      <c r="B13" s="4" t="s">
        <v>0</v>
      </c>
      <c r="C13" s="4" t="s">
        <v>36</v>
      </c>
      <c r="D13" s="4">
        <f>AVERAGE(SA!H62:H91)</f>
        <v>1064.6333333333334</v>
      </c>
      <c r="E13" s="4">
        <f>_xlfn.STDEV.P(SA!H62:H91)</f>
        <v>0.48189440982669884</v>
      </c>
      <c r="F13" s="4">
        <f>MIN(SA!H62:H91)</f>
        <v>1064</v>
      </c>
      <c r="G13" s="4">
        <f>_xlfn.QUARTILE.INC(SA!H62:H91, 1)</f>
        <v>1064</v>
      </c>
      <c r="H13" s="4">
        <f>MEDIAN(SA!H62:H91)</f>
        <v>1065</v>
      </c>
      <c r="I13" s="4">
        <f>_xlfn.QUARTILE.INC(SA!H62:H91, 3)</f>
        <v>1065</v>
      </c>
      <c r="J13" s="4">
        <f>MAX(SA!H62:H91)</f>
        <v>1065</v>
      </c>
      <c r="M13" s="4" t="s">
        <v>0</v>
      </c>
      <c r="N13" s="4" t="s">
        <v>36</v>
      </c>
      <c r="O13" s="4">
        <f>AVERAGE(SA!I62:I91)</f>
        <v>665797.73333333328</v>
      </c>
      <c r="P13" s="4">
        <f>_xlfn.STDEV.P(SA!I62:I91)</f>
        <v>314728.6413395867</v>
      </c>
      <c r="Q13" s="4">
        <f>MIN(SA!I62:I91)</f>
        <v>191784</v>
      </c>
      <c r="R13" s="4">
        <f>_xlfn.QUARTILE.INC(SA!I62:I91, 1)</f>
        <v>347504.75</v>
      </c>
      <c r="S13" s="4">
        <f>MEDIAN(SA!I62:I91)</f>
        <v>668558.5</v>
      </c>
      <c r="T13" s="4">
        <f>_xlfn.QUARTILE.INC(SA!I62:I91, 3)</f>
        <v>1000000</v>
      </c>
      <c r="U13" s="4">
        <f>MAX(SA!I62:I91)</f>
        <v>1000000</v>
      </c>
    </row>
    <row r="18" spans="2:21" x14ac:dyDescent="0.25">
      <c r="B18" s="5" t="s">
        <v>40</v>
      </c>
      <c r="C18" s="5"/>
      <c r="D18" s="5"/>
      <c r="E18" s="5"/>
      <c r="F18" s="5"/>
      <c r="G18" s="5"/>
      <c r="H18" s="5"/>
      <c r="I18" s="5"/>
      <c r="J18" s="5"/>
      <c r="M18" s="5" t="s">
        <v>40</v>
      </c>
      <c r="N18" s="5"/>
      <c r="O18" s="5"/>
      <c r="P18" s="5"/>
      <c r="Q18" s="5"/>
      <c r="R18" s="5"/>
      <c r="S18" s="5"/>
      <c r="T18" s="5"/>
      <c r="U18" s="5"/>
    </row>
    <row r="19" spans="2:21" x14ac:dyDescent="0.25">
      <c r="B19" s="4" t="s">
        <v>29</v>
      </c>
      <c r="C19" s="4" t="s">
        <v>26</v>
      </c>
      <c r="D19" s="4" t="s">
        <v>39</v>
      </c>
      <c r="E19" s="4" t="s">
        <v>27</v>
      </c>
      <c r="F19" s="4" t="s">
        <v>28</v>
      </c>
      <c r="G19" s="4" t="s">
        <v>32</v>
      </c>
      <c r="H19" s="4" t="s">
        <v>30</v>
      </c>
      <c r="I19" s="4" t="s">
        <v>33</v>
      </c>
      <c r="J19" s="4" t="s">
        <v>31</v>
      </c>
      <c r="M19" s="4" t="s">
        <v>29</v>
      </c>
      <c r="N19" s="4" t="s">
        <v>26</v>
      </c>
      <c r="O19" s="4" t="s">
        <v>43</v>
      </c>
      <c r="P19" s="4" t="s">
        <v>27</v>
      </c>
      <c r="Q19" s="4" t="s">
        <v>28</v>
      </c>
      <c r="R19" s="4" t="s">
        <v>32</v>
      </c>
      <c r="S19" s="4" t="s">
        <v>30</v>
      </c>
      <c r="T19" s="4" t="s">
        <v>33</v>
      </c>
      <c r="U19" s="4" t="s">
        <v>31</v>
      </c>
    </row>
    <row r="20" spans="2:21" x14ac:dyDescent="0.25">
      <c r="B20" s="4" t="s">
        <v>21</v>
      </c>
      <c r="C20" s="4" t="s">
        <v>34</v>
      </c>
      <c r="D20" s="4">
        <f>AVERAGE(NAHC!J2:J31)</f>
        <v>88.833333333333329</v>
      </c>
      <c r="E20" s="4">
        <f>_xlfn.STDEV.P(NAHC!J2:J31)</f>
        <v>0.89752746785575055</v>
      </c>
      <c r="F20" s="4">
        <f>MIN(NAHC!J2:J31)</f>
        <v>87</v>
      </c>
      <c r="G20" s="4">
        <f>_xlfn.QUARTILE.INC(NAHC!J2:J31, 1)</f>
        <v>88</v>
      </c>
      <c r="H20" s="4">
        <f>MEDIAN(NAHC!J2:J31)</f>
        <v>89</v>
      </c>
      <c r="I20" s="4">
        <f>_xlfn.QUARTILE.INC(NAHC!J2:J31, 3)</f>
        <v>89</v>
      </c>
      <c r="J20" s="4">
        <f>MAX(NAHC!J2:J31)</f>
        <v>91</v>
      </c>
      <c r="M20" s="4" t="s">
        <v>21</v>
      </c>
      <c r="N20" s="4" t="s">
        <v>34</v>
      </c>
      <c r="O20" s="4">
        <f>AVERAGE(NAHC!I2:I31)</f>
        <v>51.6</v>
      </c>
      <c r="P20" s="4">
        <f>_xlfn.STDEV.P(NAHC!I2:I31)</f>
        <v>12.867530195547758</v>
      </c>
      <c r="Q20" s="4">
        <f>MIN(NAHC!I2:I31)</f>
        <v>27</v>
      </c>
      <c r="R20" s="4">
        <f>_xlfn.QUARTILE.INC(NAHC!I2:I31, 1)</f>
        <v>41.25</v>
      </c>
      <c r="S20" s="4">
        <f>MEDIAN(NAHC!I2:I31)</f>
        <v>51.5</v>
      </c>
      <c r="T20" s="4">
        <f>_xlfn.QUARTILE.INC(NAHC!I2:I31, 3)</f>
        <v>61</v>
      </c>
      <c r="U20" s="4">
        <f>MAX(NAHC!I2:I31)</f>
        <v>72</v>
      </c>
    </row>
    <row r="21" spans="2:21" x14ac:dyDescent="0.25">
      <c r="B21" s="4" t="s">
        <v>21</v>
      </c>
      <c r="C21" s="4" t="s">
        <v>35</v>
      </c>
      <c r="D21" s="4">
        <f>AVERAGE(NAHC!J32:J61)</f>
        <v>418.9</v>
      </c>
      <c r="E21" s="4">
        <f>_xlfn.STDEV.P(NAHC!J32:J61)</f>
        <v>2.7123175821917798</v>
      </c>
      <c r="F21" s="4">
        <f>MIN(NAHC!J32:J61)</f>
        <v>414</v>
      </c>
      <c r="G21" s="4">
        <f>_xlfn.QUARTILE.INC(NAHC!J32:J61, 1)</f>
        <v>417.25</v>
      </c>
      <c r="H21" s="4">
        <f>MEDIAN(NAHC!J32:J61)</f>
        <v>419</v>
      </c>
      <c r="I21" s="4">
        <f>_xlfn.QUARTILE.INC(NAHC!J32:J61, 3)</f>
        <v>420.75</v>
      </c>
      <c r="J21" s="4">
        <f>MAX(NAHC!J32:J61)</f>
        <v>423</v>
      </c>
      <c r="M21" s="4" t="s">
        <v>21</v>
      </c>
      <c r="N21" s="4" t="s">
        <v>35</v>
      </c>
      <c r="O21" s="4">
        <f>AVERAGE(NAHC!I32:I61)</f>
        <v>436.63333333333333</v>
      </c>
      <c r="P21" s="4">
        <f>_xlfn.STDEV.P(NAHC!I32:I61)</f>
        <v>87.924393025422063</v>
      </c>
      <c r="Q21" s="4">
        <f>MIN(NAHC!I32:I61)</f>
        <v>294</v>
      </c>
      <c r="R21" s="4">
        <f>_xlfn.QUARTILE.INC(NAHC!I32:I61, 1)</f>
        <v>375.75</v>
      </c>
      <c r="S21" s="4">
        <f>MEDIAN(NAHC!I32:I61)</f>
        <v>436</v>
      </c>
      <c r="T21" s="4">
        <f>_xlfn.QUARTILE.INC(NAHC!I32:I61, 3)</f>
        <v>474</v>
      </c>
      <c r="U21" s="4">
        <f>MAX(NAHC!I32:I61)</f>
        <v>676</v>
      </c>
    </row>
    <row r="22" spans="2:21" x14ac:dyDescent="0.25">
      <c r="B22" s="4" t="s">
        <v>21</v>
      </c>
      <c r="C22" s="4" t="s">
        <v>36</v>
      </c>
      <c r="D22" s="4">
        <f>AVERAGE(NAHC!J62:J91)</f>
        <v>1041.8</v>
      </c>
      <c r="E22" s="4">
        <f>_xlfn.STDEV.P(NAHC!J62:J91)</f>
        <v>4.6504480070920762</v>
      </c>
      <c r="F22" s="4">
        <f>MIN(NAHC!J62:J91)</f>
        <v>1032</v>
      </c>
      <c r="G22" s="4">
        <f>_xlfn.QUARTILE.INC(NAHC!J62:J91, 1)</f>
        <v>1038.25</v>
      </c>
      <c r="H22" s="4">
        <f>MEDIAN(NAHC!J62:J91)</f>
        <v>1041.5</v>
      </c>
      <c r="I22" s="4">
        <f>_xlfn.QUARTILE.INC(NAHC!J62:J91, 3)</f>
        <v>1045.75</v>
      </c>
      <c r="J22" s="4">
        <f>MAX(NAHC!J62:J91)</f>
        <v>1050</v>
      </c>
      <c r="M22" s="4" t="s">
        <v>21</v>
      </c>
      <c r="N22" s="4" t="s">
        <v>36</v>
      </c>
      <c r="O22" s="4">
        <f>AVERAGE(NAHC!I62:I91)</f>
        <v>1253.5333333333333</v>
      </c>
      <c r="P22" s="4">
        <f>_xlfn.STDEV.P(NAHC!I62:I91)</f>
        <v>155.00058781250547</v>
      </c>
      <c r="Q22" s="4">
        <f>MIN(NAHC!I62:I91)</f>
        <v>893</v>
      </c>
      <c r="R22" s="4">
        <f>_xlfn.QUARTILE.INC(NAHC!I62:I91, 1)</f>
        <v>1150</v>
      </c>
      <c r="S22" s="4">
        <f>MEDIAN(NAHC!I62:I91)</f>
        <v>1236</v>
      </c>
      <c r="T22" s="4">
        <f>_xlfn.QUARTILE.INC(NAHC!I62:I91, 3)</f>
        <v>1373</v>
      </c>
      <c r="U22" s="4">
        <f>MAX(NAHC!I62:I91)</f>
        <v>1547</v>
      </c>
    </row>
    <row r="27" spans="2:21" x14ac:dyDescent="0.25">
      <c r="B27" s="5" t="s">
        <v>41</v>
      </c>
      <c r="C27" s="5"/>
      <c r="D27" s="5"/>
      <c r="E27" s="5"/>
      <c r="F27" s="5"/>
      <c r="G27" s="5"/>
      <c r="H27" s="5"/>
      <c r="I27" s="5"/>
      <c r="J27" s="5"/>
      <c r="M27" s="5" t="s">
        <v>41</v>
      </c>
      <c r="N27" s="5"/>
      <c r="O27" s="5"/>
      <c r="P27" s="5"/>
      <c r="Q27" s="5"/>
      <c r="R27" s="5"/>
      <c r="S27" s="5"/>
      <c r="T27" s="5"/>
      <c r="U27" s="5"/>
    </row>
    <row r="28" spans="2:21" x14ac:dyDescent="0.25">
      <c r="B28" s="4" t="s">
        <v>29</v>
      </c>
      <c r="C28" s="4" t="s">
        <v>26</v>
      </c>
      <c r="D28" s="4" t="s">
        <v>39</v>
      </c>
      <c r="E28" s="4" t="s">
        <v>27</v>
      </c>
      <c r="F28" s="4" t="s">
        <v>28</v>
      </c>
      <c r="G28" s="4" t="s">
        <v>32</v>
      </c>
      <c r="H28" s="4" t="s">
        <v>30</v>
      </c>
      <c r="I28" s="4" t="s">
        <v>33</v>
      </c>
      <c r="J28" s="4" t="s">
        <v>31</v>
      </c>
      <c r="M28" s="4" t="s">
        <v>29</v>
      </c>
      <c r="N28" s="4" t="s">
        <v>26</v>
      </c>
      <c r="O28" s="4" t="s">
        <v>43</v>
      </c>
      <c r="P28" s="4" t="s">
        <v>27</v>
      </c>
      <c r="Q28" s="4" t="s">
        <v>28</v>
      </c>
      <c r="R28" s="4" t="s">
        <v>32</v>
      </c>
      <c r="S28" s="4" t="s">
        <v>30</v>
      </c>
      <c r="T28" s="4" t="s">
        <v>33</v>
      </c>
      <c r="U28" s="4" t="s">
        <v>31</v>
      </c>
    </row>
    <row r="29" spans="2:21" x14ac:dyDescent="0.25">
      <c r="B29" s="4" t="s">
        <v>22</v>
      </c>
      <c r="C29" s="4" t="s">
        <v>34</v>
      </c>
      <c r="D29" s="4">
        <f>AVERAGE(MS_NAHC!J2:J31)</f>
        <v>91</v>
      </c>
      <c r="E29" s="4">
        <f>_xlfn.STDEV.P(MS_NAHC!J2:J31)</f>
        <v>0</v>
      </c>
      <c r="F29" s="4">
        <f>MIN(MS_NAHC!J2:J31)</f>
        <v>91</v>
      </c>
      <c r="G29" s="4">
        <f>_xlfn.QUARTILE.INC(MS_NAHC!J2:J31, 1)</f>
        <v>91</v>
      </c>
      <c r="H29" s="4">
        <f>MEDIAN(MS_NAHC!J2:J31)</f>
        <v>91</v>
      </c>
      <c r="I29" s="4">
        <f>_xlfn.QUARTILE.INC(MS_NAHC!J2:J31, 3)</f>
        <v>91</v>
      </c>
      <c r="J29" s="4">
        <f>MAX(MS_NAHC!J2:J31)</f>
        <v>91</v>
      </c>
      <c r="M29" s="4" t="s">
        <v>22</v>
      </c>
      <c r="N29" s="4" t="s">
        <v>34</v>
      </c>
      <c r="O29" s="4">
        <f>AVERAGE(MS_NAHC!I2:I31)</f>
        <v>470.13333333333333</v>
      </c>
      <c r="P29" s="4">
        <f>_xlfn.STDEV.P(MS_NAHC!I2:I31)</f>
        <v>343.28246225067903</v>
      </c>
      <c r="Q29" s="4">
        <f>MIN(MS_NAHC!I2:I31)</f>
        <v>27</v>
      </c>
      <c r="R29" s="4">
        <f>_xlfn.QUARTILE.INC(MS_NAHC!I2:I31, 1)</f>
        <v>195.5</v>
      </c>
      <c r="S29" s="4">
        <f>MEDIAN(MS_NAHC!I2:I31)</f>
        <v>414</v>
      </c>
      <c r="T29" s="4">
        <f>_xlfn.QUARTILE.INC(MS_NAHC!I2:I31, 3)</f>
        <v>629.5</v>
      </c>
      <c r="U29" s="4">
        <f>MAX(MS_NAHC!I2:I31)</f>
        <v>1493</v>
      </c>
    </row>
    <row r="30" spans="2:21" x14ac:dyDescent="0.25">
      <c r="B30" s="4" t="s">
        <v>22</v>
      </c>
      <c r="C30" s="4" t="s">
        <v>35</v>
      </c>
      <c r="D30" s="4">
        <f>AVERAGE(MS_NAHC!J32:J61)</f>
        <v>427.53333333333336</v>
      </c>
      <c r="E30" s="4">
        <f>_xlfn.STDEV.P(MS_NAHC!J32:J61)</f>
        <v>0.61824123303304701</v>
      </c>
      <c r="F30" s="4">
        <f>MIN(MS_NAHC!J32:J61)</f>
        <v>426</v>
      </c>
      <c r="G30" s="4">
        <f>_xlfn.QUARTILE.INC(MS_NAHC!J32:J61, 1)</f>
        <v>427</v>
      </c>
      <c r="H30" s="4">
        <f>MEDIAN(MS_NAHC!J32:J61)</f>
        <v>428</v>
      </c>
      <c r="I30" s="4">
        <f>_xlfn.QUARTILE.INC(MS_NAHC!J32:J61, 3)</f>
        <v>428</v>
      </c>
      <c r="J30" s="4">
        <f>MAX(MS_NAHC!J32:J61)</f>
        <v>429</v>
      </c>
      <c r="M30" s="4" t="s">
        <v>22</v>
      </c>
      <c r="N30" s="4" t="s">
        <v>35</v>
      </c>
      <c r="O30" s="4">
        <f>AVERAGE(MS_NAHC!I32:I61)</f>
        <v>1000000</v>
      </c>
      <c r="P30" s="4">
        <f>_xlfn.STDEV.P(MS_NAHC!I32:I61)</f>
        <v>0</v>
      </c>
      <c r="Q30" s="4">
        <f>MIN(MS_NAHC!I32:I61)</f>
        <v>1000000</v>
      </c>
      <c r="R30" s="4">
        <f>_xlfn.QUARTILE.INC(MS_NAHC!I32:I61, 1)</f>
        <v>1000000</v>
      </c>
      <c r="S30" s="4">
        <f>MEDIAN(MS_NAHC!I32:I61)</f>
        <v>1000000</v>
      </c>
      <c r="T30" s="4">
        <f>_xlfn.QUARTILE.INC(MS_NAHC!I32:I61, 3)</f>
        <v>1000000</v>
      </c>
      <c r="U30" s="4">
        <f>MAX(MS_NAHC!I32:I61)</f>
        <v>1000000</v>
      </c>
    </row>
    <row r="31" spans="2:21" x14ac:dyDescent="0.25">
      <c r="B31" s="4" t="s">
        <v>22</v>
      </c>
      <c r="C31" s="4" t="s">
        <v>36</v>
      </c>
      <c r="D31" s="4">
        <f>AVERAGE(MS_NAHC!J62:J91)</f>
        <v>1054.1666666666667</v>
      </c>
      <c r="E31" s="4">
        <f>_xlfn.STDEV.P(MS_NAHC!J62:J91)</f>
        <v>1.240519604395226</v>
      </c>
      <c r="F31" s="4">
        <f>MIN(MS_NAHC!J62:J91)</f>
        <v>1052</v>
      </c>
      <c r="G31" s="4">
        <f>_xlfn.QUARTILE.INC(MS_NAHC!J62:J91, 1)</f>
        <v>1053.25</v>
      </c>
      <c r="H31" s="4">
        <f>MEDIAN(MS_NAHC!J62:J91)</f>
        <v>1054</v>
      </c>
      <c r="I31" s="4">
        <f>_xlfn.QUARTILE.INC(MS_NAHC!J62:J91, 3)</f>
        <v>1055</v>
      </c>
      <c r="J31" s="4">
        <f>MAX(MS_NAHC!J62:J91)</f>
        <v>1056</v>
      </c>
      <c r="M31" s="4" t="s">
        <v>22</v>
      </c>
      <c r="N31" s="4" t="s">
        <v>36</v>
      </c>
      <c r="O31" s="4">
        <f>AVERAGE(MS_NAHC!I62:I91)</f>
        <v>1000000</v>
      </c>
      <c r="P31" s="4">
        <f>_xlfn.STDEV.P(MS_NAHC!I62:I91)</f>
        <v>0</v>
      </c>
      <c r="Q31" s="4">
        <f>MIN(MS_NAHC!I62:I91)</f>
        <v>1000000</v>
      </c>
      <c r="R31" s="4">
        <f>_xlfn.QUARTILE.INC(MS_NAHC!I62:I91, 1)</f>
        <v>1000000</v>
      </c>
      <c r="S31" s="4">
        <f>MEDIAN(MS_NAHC!I62:I91)</f>
        <v>1000000</v>
      </c>
      <c r="T31" s="4">
        <f>_xlfn.QUARTILE.INC(MS_NAHC!I62:I91, 3)</f>
        <v>1000000</v>
      </c>
      <c r="U31" s="4">
        <f>MAX(MS_NAHC!I62:I91)</f>
        <v>1000000</v>
      </c>
    </row>
    <row r="36" spans="2:21" x14ac:dyDescent="0.25">
      <c r="B36" s="5" t="s">
        <v>42</v>
      </c>
      <c r="C36" s="5"/>
      <c r="D36" s="5"/>
      <c r="E36" s="5"/>
      <c r="F36" s="5"/>
      <c r="G36" s="5"/>
      <c r="H36" s="5"/>
      <c r="I36" s="5"/>
      <c r="J36" s="5"/>
      <c r="M36" s="5" t="s">
        <v>42</v>
      </c>
      <c r="N36" s="5"/>
      <c r="O36" s="5"/>
      <c r="P36" s="5"/>
      <c r="Q36" s="5"/>
      <c r="R36" s="5"/>
      <c r="S36" s="5"/>
      <c r="T36" s="5"/>
      <c r="U36" s="5"/>
    </row>
    <row r="37" spans="2:21" x14ac:dyDescent="0.25">
      <c r="B37" s="4" t="s">
        <v>29</v>
      </c>
      <c r="C37" s="4" t="s">
        <v>26</v>
      </c>
      <c r="D37" s="4" t="s">
        <v>39</v>
      </c>
      <c r="E37" s="4" t="s">
        <v>27</v>
      </c>
      <c r="F37" s="4" t="s">
        <v>28</v>
      </c>
      <c r="G37" s="4" t="s">
        <v>32</v>
      </c>
      <c r="H37" s="4" t="s">
        <v>30</v>
      </c>
      <c r="I37" s="4" t="s">
        <v>33</v>
      </c>
      <c r="J37" s="4" t="s">
        <v>31</v>
      </c>
      <c r="M37" s="4" t="s">
        <v>29</v>
      </c>
      <c r="N37" s="4" t="s">
        <v>26</v>
      </c>
      <c r="O37" s="4" t="s">
        <v>39</v>
      </c>
      <c r="P37" s="4" t="s">
        <v>27</v>
      </c>
      <c r="Q37" s="4" t="s">
        <v>28</v>
      </c>
      <c r="R37" s="4" t="s">
        <v>32</v>
      </c>
      <c r="S37" s="4" t="s">
        <v>30</v>
      </c>
      <c r="T37" s="4" t="s">
        <v>33</v>
      </c>
      <c r="U37" s="4" t="s">
        <v>31</v>
      </c>
    </row>
    <row r="38" spans="2:21" x14ac:dyDescent="0.25">
      <c r="B38" s="4" t="s">
        <v>23</v>
      </c>
      <c r="C38" s="4" t="s">
        <v>34</v>
      </c>
      <c r="D38" s="4">
        <f>AVERAGE(VNH!J2:J31)</f>
        <v>90.233333333333334</v>
      </c>
      <c r="E38" s="4">
        <f>_xlfn.STDEV.P(VNH!J2:J31)</f>
        <v>0.76084748070088826</v>
      </c>
      <c r="F38" s="4">
        <f>MIN(VNH!J2:J31)</f>
        <v>89</v>
      </c>
      <c r="G38" s="4">
        <f>_xlfn.QUARTILE.INC(VNH!J2:J31, 1)</f>
        <v>90</v>
      </c>
      <c r="H38" s="4">
        <f>MEDIAN(VNH!J2:J31)</f>
        <v>90</v>
      </c>
      <c r="I38" s="4">
        <f>_xlfn.QUARTILE.INC(VNH!J2:J31, 3)</f>
        <v>91</v>
      </c>
      <c r="J38" s="4">
        <f>MAX(VNH!J2:J31)</f>
        <v>91</v>
      </c>
      <c r="M38" s="4" t="s">
        <v>23</v>
      </c>
      <c r="N38" s="4" t="s">
        <v>34</v>
      </c>
      <c r="O38" s="4">
        <f>AVERAGE(VNH!I2:I31)</f>
        <v>1142.5333333333333</v>
      </c>
      <c r="P38" s="4">
        <f>_xlfn.STDEV.P(VNH!I2:I31)</f>
        <v>708.30933606409258</v>
      </c>
      <c r="Q38" s="4">
        <f>MIN(VNH!I2:I31)</f>
        <v>105</v>
      </c>
      <c r="R38" s="4">
        <f>_xlfn.QUARTILE.INC(VNH!I2:I31, 1)</f>
        <v>356.25</v>
      </c>
      <c r="S38" s="4">
        <f>MEDIAN(VNH!I2:I31)</f>
        <v>1402.5</v>
      </c>
      <c r="T38" s="4">
        <f>_xlfn.QUARTILE.INC(VNH!I2:I31, 3)</f>
        <v>1541</v>
      </c>
      <c r="U38" s="4">
        <f>MAX(VNH!I2:I31)</f>
        <v>2693</v>
      </c>
    </row>
    <row r="39" spans="2:21" x14ac:dyDescent="0.25">
      <c r="B39" s="4" t="s">
        <v>23</v>
      </c>
      <c r="C39" s="4" t="s">
        <v>35</v>
      </c>
      <c r="D39" s="4">
        <f>AVERAGE(VNH!J32:J61)</f>
        <v>424.4</v>
      </c>
      <c r="E39" s="4">
        <f>_xlfn.STDEV.P(VNH!J32:J61)</f>
        <v>2.5768197453450248</v>
      </c>
      <c r="F39" s="4">
        <f>MIN(VNH!J32:J61)</f>
        <v>418</v>
      </c>
      <c r="G39" s="4">
        <f>_xlfn.QUARTILE.INC(VNH!J32:J61, 1)</f>
        <v>423.25</v>
      </c>
      <c r="H39" s="4">
        <f>MEDIAN(VNH!J32:J61)</f>
        <v>425</v>
      </c>
      <c r="I39" s="4">
        <f>_xlfn.QUARTILE.INC(VNH!J32:J61, 3)</f>
        <v>426</v>
      </c>
      <c r="J39" s="4">
        <f>MAX(VNH!J32:J61)</f>
        <v>428</v>
      </c>
      <c r="M39" s="4" t="s">
        <v>23</v>
      </c>
      <c r="N39" s="4" t="s">
        <v>35</v>
      </c>
      <c r="O39" s="4">
        <f>AVERAGE(VNH!I32:I61)</f>
        <v>252472.46666666667</v>
      </c>
      <c r="P39" s="4">
        <f>_xlfn.STDEV.P(VNH!I32:I61)</f>
        <v>80417.647505065019</v>
      </c>
      <c r="Q39" s="4">
        <f>MIN(VNH!I32:I61)</f>
        <v>169185</v>
      </c>
      <c r="R39" s="4">
        <f>_xlfn.QUARTILE.INC(VNH!I32:I61, 1)</f>
        <v>179006.25</v>
      </c>
      <c r="S39" s="4">
        <f>MEDIAN(VNH!I32:I61)</f>
        <v>237066</v>
      </c>
      <c r="T39" s="4">
        <f>_xlfn.QUARTILE.INC(VNH!I32:I61, 3)</f>
        <v>297619</v>
      </c>
      <c r="U39" s="4">
        <f>MAX(VNH!I32:I61)</f>
        <v>460788</v>
      </c>
    </row>
    <row r="40" spans="2:21" x14ac:dyDescent="0.25">
      <c r="B40" s="4" t="s">
        <v>23</v>
      </c>
      <c r="C40" s="4" t="s">
        <v>36</v>
      </c>
      <c r="D40" s="4">
        <f>AVERAGE(VNH!J62:J91)</f>
        <v>1052.8333333333333</v>
      </c>
      <c r="E40" s="4">
        <f>_xlfn.STDEV.P(VNH!J62:J91)</f>
        <v>2.5571251218680886</v>
      </c>
      <c r="F40" s="4">
        <f>MIN(VNH!J62:J91)</f>
        <v>1048</v>
      </c>
      <c r="G40" s="4">
        <f>_xlfn.QUARTILE.INC(VNH!J62:J91, 1)</f>
        <v>1051</v>
      </c>
      <c r="H40" s="4">
        <f>MEDIAN(VNH!J62:J91)</f>
        <v>1053</v>
      </c>
      <c r="I40" s="4">
        <f>_xlfn.QUARTILE.INC(VNH!J62:J91, 3)</f>
        <v>1055</v>
      </c>
      <c r="J40" s="4">
        <f>MAX(VNH!J62:J91)</f>
        <v>1059</v>
      </c>
      <c r="M40" s="4" t="s">
        <v>23</v>
      </c>
      <c r="N40" s="4" t="s">
        <v>36</v>
      </c>
      <c r="O40" s="4">
        <f>AVERAGE(VNH!I62:I91)</f>
        <v>2072161.8333333333</v>
      </c>
      <c r="P40" s="4">
        <f>_xlfn.STDEV.P(VNH!I62:I91)</f>
        <v>673237.33510222007</v>
      </c>
      <c r="Q40" s="4">
        <f>MIN(VNH!I62:I91)</f>
        <v>1010964</v>
      </c>
      <c r="R40" s="4">
        <f>_xlfn.QUARTILE.INC(VNH!I62:I91, 1)</f>
        <v>1435705.75</v>
      </c>
      <c r="S40" s="4">
        <f>MEDIAN(VNH!I62:I91)</f>
        <v>2120144</v>
      </c>
      <c r="T40" s="4">
        <f>_xlfn.QUARTILE.INC(VNH!I62:I91, 3)</f>
        <v>2684909.5</v>
      </c>
      <c r="U40" s="4">
        <f>MAX(VNH!I62:I91)</f>
        <v>3260976</v>
      </c>
    </row>
    <row r="42" spans="2:21" x14ac:dyDescent="0.25">
      <c r="B42" s="5" t="s">
        <v>42</v>
      </c>
      <c r="C42" s="5"/>
      <c r="D42" s="5"/>
      <c r="E42" s="5"/>
      <c r="F42" s="5"/>
      <c r="G42" s="5"/>
      <c r="H42" s="5"/>
      <c r="I42" s="5"/>
      <c r="J42" s="5"/>
      <c r="M42" s="5" t="s">
        <v>42</v>
      </c>
      <c r="N42" s="5"/>
      <c r="O42" s="5"/>
      <c r="P42" s="5"/>
      <c r="Q42" s="5"/>
      <c r="R42" s="5"/>
      <c r="S42" s="5"/>
      <c r="T42" s="5"/>
      <c r="U42" s="5"/>
    </row>
    <row r="43" spans="2:21" x14ac:dyDescent="0.25">
      <c r="B43" s="4" t="s">
        <v>29</v>
      </c>
      <c r="C43" s="4" t="s">
        <v>26</v>
      </c>
      <c r="D43" s="4" t="s">
        <v>39</v>
      </c>
      <c r="E43" s="4" t="s">
        <v>27</v>
      </c>
      <c r="F43" s="4" t="s">
        <v>28</v>
      </c>
      <c r="G43" s="4" t="s">
        <v>32</v>
      </c>
      <c r="H43" s="4" t="s">
        <v>30</v>
      </c>
      <c r="I43" s="4" t="s">
        <v>33</v>
      </c>
      <c r="J43" s="4" t="s">
        <v>31</v>
      </c>
      <c r="M43" s="4" t="s">
        <v>29</v>
      </c>
      <c r="N43" s="4" t="s">
        <v>26</v>
      </c>
      <c r="O43" s="4" t="s">
        <v>39</v>
      </c>
      <c r="P43" s="4" t="s">
        <v>27</v>
      </c>
      <c r="Q43" s="4" t="s">
        <v>28</v>
      </c>
      <c r="R43" s="4" t="s">
        <v>32</v>
      </c>
      <c r="S43" s="4" t="s">
        <v>30</v>
      </c>
      <c r="T43" s="4" t="s">
        <v>33</v>
      </c>
      <c r="U43" s="4" t="s">
        <v>31</v>
      </c>
    </row>
    <row r="44" spans="2:21" x14ac:dyDescent="0.25">
      <c r="B44" s="4" t="s">
        <v>24</v>
      </c>
      <c r="C44" s="4" t="s">
        <v>34</v>
      </c>
      <c r="D44" s="4">
        <f>AVERAGE(MS_VNH!J2:J31)</f>
        <v>91</v>
      </c>
      <c r="E44" s="4">
        <f>_xlfn.STDEV.P(MS_VNH!J2:J31)</f>
        <v>0</v>
      </c>
      <c r="F44" s="4">
        <f>MIN(MS_VNH!J2:J31)</f>
        <v>91</v>
      </c>
      <c r="G44" s="4">
        <f>_xlfn.QUARTILE.INC(MS_VNH!J2:J31, 1)</f>
        <v>91</v>
      </c>
      <c r="H44" s="4">
        <f>MEDIAN(MS_VNH!J2:J31)</f>
        <v>91</v>
      </c>
      <c r="I44" s="4">
        <f>_xlfn.QUARTILE.INC(MS_VNH!J2:J31, 3)</f>
        <v>91</v>
      </c>
      <c r="J44" s="4">
        <f>MAX(MS_VNH!J2:J31)</f>
        <v>91</v>
      </c>
      <c r="M44" s="4" t="s">
        <v>24</v>
      </c>
      <c r="N44" s="4" t="s">
        <v>34</v>
      </c>
      <c r="O44" s="4">
        <f>AVERAGE(MS_VNH!I2:I31)</f>
        <v>4232.1000000000004</v>
      </c>
      <c r="P44" s="4">
        <f>_xlfn.STDEV.P(MS_VNH!I2:I31)</f>
        <v>3830.9312997407474</v>
      </c>
      <c r="Q44" s="4">
        <f>MIN(MS_VNH!I2:I31)</f>
        <v>1455</v>
      </c>
      <c r="R44" s="4">
        <f>_xlfn.QUARTILE.INC(MS_VNH!I2:I31, 1)</f>
        <v>1706.25</v>
      </c>
      <c r="S44" s="4">
        <f>MEDIAN(MS_VNH!I2:I31)</f>
        <v>2909</v>
      </c>
      <c r="T44" s="4">
        <f>_xlfn.QUARTILE.INC(MS_VNH!I2:I31, 3)</f>
        <v>5564.5</v>
      </c>
      <c r="U44" s="4">
        <f>MAX(MS_VNH!I2:I31)</f>
        <v>21521</v>
      </c>
    </row>
    <row r="45" spans="2:21" x14ac:dyDescent="0.25">
      <c r="B45" s="4" t="s">
        <v>24</v>
      </c>
      <c r="C45" s="4" t="s">
        <v>35</v>
      </c>
      <c r="D45" s="4">
        <f>AVERAGE(MS_VNH!J32:J61)</f>
        <v>426.16666666666669</v>
      </c>
      <c r="E45" s="4">
        <f>_xlfn.STDEV.P(MS_VNH!J32:J61)</f>
        <v>1.0027739304327552</v>
      </c>
      <c r="F45" s="4">
        <f>MIN(MS_VNH!J32:J61)</f>
        <v>424</v>
      </c>
      <c r="G45" s="4">
        <f>_xlfn.QUARTILE.INC(MS_VNH!J32:J61, 1)</f>
        <v>426</v>
      </c>
      <c r="H45" s="4">
        <f>MEDIAN(MS_VNH!J32:J61)</f>
        <v>426</v>
      </c>
      <c r="I45" s="4">
        <f>_xlfn.QUARTILE.INC(MS_VNH!J32:J61, 3)</f>
        <v>427</v>
      </c>
      <c r="J45" s="4">
        <f>MAX(MS_VNH!J32:J61)</f>
        <v>428</v>
      </c>
      <c r="M45" s="4" t="s">
        <v>24</v>
      </c>
      <c r="N45" s="4" t="s">
        <v>35</v>
      </c>
      <c r="O45" s="4">
        <f>AVERAGE(MS_VNH!I32:I61)</f>
        <v>1000000</v>
      </c>
      <c r="P45" s="4">
        <f>_xlfn.STDEV.P(MS_VNH!I32:I61)</f>
        <v>0</v>
      </c>
      <c r="Q45" s="4">
        <f>MIN(MS_VNH!I32:I61)</f>
        <v>1000000</v>
      </c>
      <c r="R45" s="4">
        <f>_xlfn.QUARTILE.INC(MS_VNH!I32:I61, 1)</f>
        <v>1000000</v>
      </c>
      <c r="S45" s="4">
        <f>MEDIAN(MS_VNH!I32:I61)</f>
        <v>1000000</v>
      </c>
      <c r="T45" s="4">
        <f>_xlfn.QUARTILE.INC(MS_VNH!I32:I61, 3)</f>
        <v>1000000</v>
      </c>
      <c r="U45" s="4">
        <f>MAX(MS_VNH!I32:I61)</f>
        <v>1000000</v>
      </c>
    </row>
    <row r="46" spans="2:21" x14ac:dyDescent="0.25">
      <c r="B46" s="4" t="s">
        <v>24</v>
      </c>
      <c r="C46" s="4" t="s">
        <v>36</v>
      </c>
      <c r="D46" s="4">
        <f>AVERAGE(MS_VNH!J62:J91)</f>
        <v>1052.1333333333334</v>
      </c>
      <c r="E46" s="4">
        <f>_xlfn.STDEV.P(MS_VNH!J62:J91)</f>
        <v>2.7170245163086446</v>
      </c>
      <c r="F46" s="4">
        <f>MIN(MS_VNH!J62:J91)</f>
        <v>1047</v>
      </c>
      <c r="G46" s="4">
        <f>_xlfn.QUARTILE.INC(MS_VNH!J62:J91, 1)</f>
        <v>1051</v>
      </c>
      <c r="H46" s="4">
        <f>MEDIAN(MS_VNH!J62:J91)</f>
        <v>1052</v>
      </c>
      <c r="I46" s="4">
        <f>_xlfn.QUARTILE.INC(MS_VNH!J62:J91, 3)</f>
        <v>1054</v>
      </c>
      <c r="J46" s="4">
        <f>MAX(MS_VNH!J62:J91)</f>
        <v>1059</v>
      </c>
      <c r="M46" s="4" t="s">
        <v>24</v>
      </c>
      <c r="N46" s="4" t="s">
        <v>36</v>
      </c>
      <c r="O46" s="4">
        <f>AVERAGE(MS_VNH!I62:I91)</f>
        <v>1000000</v>
      </c>
      <c r="P46" s="4">
        <f>_xlfn.STDEV.P(MS_VNH!I62:I91)</f>
        <v>0</v>
      </c>
      <c r="Q46" s="4">
        <f>MIN(MS_VNH!I62:I91)</f>
        <v>1000000</v>
      </c>
      <c r="R46" s="4">
        <f>_xlfn.QUARTILE.INC(MS_VNH!I62:I91, 1)</f>
        <v>1000000</v>
      </c>
      <c r="S46" s="4">
        <f>MEDIAN(MS_VNH!I62:I91)</f>
        <v>1000000</v>
      </c>
      <c r="T46" s="4">
        <f>_xlfn.QUARTILE.INC(MS_VNH!I62:I91, 3)</f>
        <v>1000000</v>
      </c>
      <c r="U46" s="4">
        <f>MAX(MS_VNH!I62:I91)</f>
        <v>1000000</v>
      </c>
    </row>
  </sheetData>
  <mergeCells count="12">
    <mergeCell ref="M42:U42"/>
    <mergeCell ref="M1:U1"/>
    <mergeCell ref="M9:U9"/>
    <mergeCell ref="M18:U18"/>
    <mergeCell ref="M27:U27"/>
    <mergeCell ref="M36:U36"/>
    <mergeCell ref="B42:J42"/>
    <mergeCell ref="B1:J1"/>
    <mergeCell ref="B9:J9"/>
    <mergeCell ref="B18:J18"/>
    <mergeCell ref="B27:J27"/>
    <mergeCell ref="B36:J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</vt:i4>
      </vt:variant>
    </vt:vector>
  </HeadingPairs>
  <TitlesOfParts>
    <vt:vector size="7" baseType="lpstr">
      <vt:lpstr>PSO</vt:lpstr>
      <vt:lpstr>SA</vt:lpstr>
      <vt:lpstr>NAHC</vt:lpstr>
      <vt:lpstr>MS_NAHC</vt:lpstr>
      <vt:lpstr>VNH</vt:lpstr>
      <vt:lpstr>MS_VNH</vt:lpstr>
      <vt:lpstr>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Almeida</dc:creator>
  <cp:lastModifiedBy>DIOGO PAIVA ALMEIDA</cp:lastModifiedBy>
  <dcterms:created xsi:type="dcterms:W3CDTF">2015-06-05T18:19:34Z</dcterms:created>
  <dcterms:modified xsi:type="dcterms:W3CDTF">2025-11-20T04:44:35Z</dcterms:modified>
</cp:coreProperties>
</file>